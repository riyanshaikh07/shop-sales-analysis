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ice Lookup" sheetId="2" state="visible" r:id="rId4"/>
    <sheet name="Raw Data" sheetId="3" state="visible" r:id="rId5"/>
    <sheet name="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<sst xmlns="http://schemas.openxmlformats.org/spreadsheetml/2006/main" count="1301" uniqueCount="366">
  <si>
    <t xml:space="preserve">Shop Sales Dashboard</t>
  </si>
  <si>
    <t xml:space="preserve">Total Sales</t>
  </si>
  <si>
    <t xml:space="preserve">Total Orders</t>
  </si>
  <si>
    <t xml:space="preserve">Average Order Value</t>
  </si>
  <si>
    <t xml:space="preserve">Best-Selling Category</t>
  </si>
  <si>
    <t xml:space="preserve">Data source: Raw Data sheet (synthetic shop transactions, Jan-Dec 2025)</t>
  </si>
  <si>
    <t xml:space="preserve">Product</t>
  </si>
  <si>
    <t xml:space="preserve">Category</t>
  </si>
  <si>
    <t xml:space="preserve">Unit Price</t>
  </si>
  <si>
    <t xml:space="preserve">Wireless Mouse</t>
  </si>
  <si>
    <t xml:space="preserve">Electronics</t>
  </si>
  <si>
    <t xml:space="preserve">Bluetooth Speaker</t>
  </si>
  <si>
    <t xml:space="preserve">USB Cable</t>
  </si>
  <si>
    <t xml:space="preserve">Notebook</t>
  </si>
  <si>
    <t xml:space="preserve">Stationery</t>
  </si>
  <si>
    <t xml:space="preserve">Ball Pen (Pack of 5)</t>
  </si>
  <si>
    <t xml:space="preserve">Sketch Pens</t>
  </si>
  <si>
    <t xml:space="preserve">Office Chair</t>
  </si>
  <si>
    <t xml:space="preserve">Furniture</t>
  </si>
  <si>
    <t xml:space="preserve">Study Table</t>
  </si>
  <si>
    <t xml:space="preserve">LED Desk Lamp</t>
  </si>
  <si>
    <t xml:space="preserve">Water Bottle</t>
  </si>
  <si>
    <t xml:space="preserve">Home &amp; Kitchen</t>
  </si>
  <si>
    <t xml:space="preserve">Steel Tiffin Box</t>
  </si>
  <si>
    <t xml:space="preserve">Non-stick Pan</t>
  </si>
  <si>
    <t xml:space="preserve">T-Shirt</t>
  </si>
  <si>
    <t xml:space="preserve">Apparel</t>
  </si>
  <si>
    <t xml:space="preserve">Jeans</t>
  </si>
  <si>
    <t xml:space="preserve">Cap</t>
  </si>
  <si>
    <t xml:space="preserve">Face Wash</t>
  </si>
  <si>
    <t xml:space="preserve">Personal Care</t>
  </si>
  <si>
    <t xml:space="preserve">Shampoo 200ml</t>
  </si>
  <si>
    <t xml:space="preserve">Hand Sanitizer</t>
  </si>
  <si>
    <t xml:space="preserve">Order ID</t>
  </si>
  <si>
    <t xml:space="preserve">Date</t>
  </si>
  <si>
    <t xml:space="preserve">Quantity</t>
  </si>
  <si>
    <t xml:space="preserve">Region</t>
  </si>
  <si>
    <t xml:space="preserve">Payment Mode</t>
  </si>
  <si>
    <t xml:space="preserve">ORD1001</t>
  </si>
  <si>
    <t xml:space="preserve">East</t>
  </si>
  <si>
    <t xml:space="preserve">UPI</t>
  </si>
  <si>
    <t xml:space="preserve">ORD1002</t>
  </si>
  <si>
    <t xml:space="preserve">North</t>
  </si>
  <si>
    <t xml:space="preserve">Net Banking</t>
  </si>
  <si>
    <t xml:space="preserve">ORD1003</t>
  </si>
  <si>
    <t xml:space="preserve">South</t>
  </si>
  <si>
    <t xml:space="preserve">ORD1004</t>
  </si>
  <si>
    <t xml:space="preserve">West</t>
  </si>
  <si>
    <t xml:space="preserve">ORD1005</t>
  </si>
  <si>
    <t xml:space="preserve">ORD1006</t>
  </si>
  <si>
    <t xml:space="preserve">Card</t>
  </si>
  <si>
    <t xml:space="preserve">ORD1007</t>
  </si>
  <si>
    <t xml:space="preserve">ORD1008</t>
  </si>
  <si>
    <t xml:space="preserve">Cash</t>
  </si>
  <si>
    <t xml:space="preserve">ORD1009</t>
  </si>
  <si>
    <t xml:space="preserve">ORD1010</t>
  </si>
  <si>
    <t xml:space="preserve">ORD1011</t>
  </si>
  <si>
    <t xml:space="preserve">ORD1012</t>
  </si>
  <si>
    <t xml:space="preserve">ORD1013</t>
  </si>
  <si>
    <t xml:space="preserve">ORD1014</t>
  </si>
  <si>
    <t xml:space="preserve">ORD1015</t>
  </si>
  <si>
    <t xml:space="preserve">ORD1016</t>
  </si>
  <si>
    <t xml:space="preserve">ORD1017</t>
  </si>
  <si>
    <t xml:space="preserve">ORD1018</t>
  </si>
  <si>
    <t xml:space="preserve">ORD1019</t>
  </si>
  <si>
    <t xml:space="preserve">ORD1020</t>
  </si>
  <si>
    <t xml:space="preserve">ORD1021</t>
  </si>
  <si>
    <t xml:space="preserve">ORD1022</t>
  </si>
  <si>
    <t xml:space="preserve">ORD1023</t>
  </si>
  <si>
    <t xml:space="preserve">ORD1024</t>
  </si>
  <si>
    <t xml:space="preserve">ORD1025</t>
  </si>
  <si>
    <t xml:space="preserve">ORD1026</t>
  </si>
  <si>
    <t xml:space="preserve">ORD1027</t>
  </si>
  <si>
    <t xml:space="preserve">ORD1028</t>
  </si>
  <si>
    <t xml:space="preserve">ORD1029</t>
  </si>
  <si>
    <t xml:space="preserve">ORD1030</t>
  </si>
  <si>
    <t xml:space="preserve">ORD1031</t>
  </si>
  <si>
    <t xml:space="preserve">ORD1032</t>
  </si>
  <si>
    <t xml:space="preserve">ORD1033</t>
  </si>
  <si>
    <t xml:space="preserve">ORD1034</t>
  </si>
  <si>
    <t xml:space="preserve">ORD1035</t>
  </si>
  <si>
    <t xml:space="preserve">ORD1036</t>
  </si>
  <si>
    <t xml:space="preserve">ORD1037</t>
  </si>
  <si>
    <t xml:space="preserve">ORD1038</t>
  </si>
  <si>
    <t xml:space="preserve">ORD1039</t>
  </si>
  <si>
    <t xml:space="preserve">ORD1040</t>
  </si>
  <si>
    <t xml:space="preserve">ORD1041</t>
  </si>
  <si>
    <t xml:space="preserve">ORD1042</t>
  </si>
  <si>
    <t xml:space="preserve">ORD1043</t>
  </si>
  <si>
    <t xml:space="preserve">ORD1044</t>
  </si>
  <si>
    <t xml:space="preserve">ORD1045</t>
  </si>
  <si>
    <t xml:space="preserve">ORD1046</t>
  </si>
  <si>
    <t xml:space="preserve">ORD1047</t>
  </si>
  <si>
    <t xml:space="preserve">ORD1048</t>
  </si>
  <si>
    <t xml:space="preserve">ORD1049</t>
  </si>
  <si>
    <t xml:space="preserve">ORD1050</t>
  </si>
  <si>
    <t xml:space="preserve">ORD1051</t>
  </si>
  <si>
    <t xml:space="preserve">ORD1052</t>
  </si>
  <si>
    <t xml:space="preserve">ORD1053</t>
  </si>
  <si>
    <t xml:space="preserve">ORD1054</t>
  </si>
  <si>
    <t xml:space="preserve">ORD1055</t>
  </si>
  <si>
    <t xml:space="preserve">ORD1056</t>
  </si>
  <si>
    <t xml:space="preserve">ORD1057</t>
  </si>
  <si>
    <t xml:space="preserve">ORD1058</t>
  </si>
  <si>
    <t xml:space="preserve">ORD1059</t>
  </si>
  <si>
    <t xml:space="preserve">ORD1060</t>
  </si>
  <si>
    <t xml:space="preserve">ORD1061</t>
  </si>
  <si>
    <t xml:space="preserve">ORD1062</t>
  </si>
  <si>
    <t xml:space="preserve">ORD1063</t>
  </si>
  <si>
    <t xml:space="preserve">ORD1064</t>
  </si>
  <si>
    <t xml:space="preserve">ORD1065</t>
  </si>
  <si>
    <t xml:space="preserve">ORD1066</t>
  </si>
  <si>
    <t xml:space="preserve">ORD1067</t>
  </si>
  <si>
    <t xml:space="preserve">ORD1068</t>
  </si>
  <si>
    <t xml:space="preserve">ORD1069</t>
  </si>
  <si>
    <t xml:space="preserve">ORD1070</t>
  </si>
  <si>
    <t xml:space="preserve">ORD1071</t>
  </si>
  <si>
    <t xml:space="preserve">ORD1072</t>
  </si>
  <si>
    <t xml:space="preserve">ORD1073</t>
  </si>
  <si>
    <t xml:space="preserve">ORD1074</t>
  </si>
  <si>
    <t xml:space="preserve">ORD1075</t>
  </si>
  <si>
    <t xml:space="preserve">ORD1076</t>
  </si>
  <si>
    <t xml:space="preserve">ORD1077</t>
  </si>
  <si>
    <t xml:space="preserve">ORD1078</t>
  </si>
  <si>
    <t xml:space="preserve">ORD1079</t>
  </si>
  <si>
    <t xml:space="preserve">ORD1080</t>
  </si>
  <si>
    <t xml:space="preserve">ORD1081</t>
  </si>
  <si>
    <t xml:space="preserve">ORD1082</t>
  </si>
  <si>
    <t xml:space="preserve">ORD1083</t>
  </si>
  <si>
    <t xml:space="preserve">ORD1084</t>
  </si>
  <si>
    <t xml:space="preserve">ORD1085</t>
  </si>
  <si>
    <t xml:space="preserve">ORD1086</t>
  </si>
  <si>
    <t xml:space="preserve">ORD1087</t>
  </si>
  <si>
    <t xml:space="preserve">ORD1088</t>
  </si>
  <si>
    <t xml:space="preserve">ORD1089</t>
  </si>
  <si>
    <t xml:space="preserve">ORD1090</t>
  </si>
  <si>
    <t xml:space="preserve">ORD1091</t>
  </si>
  <si>
    <t xml:space="preserve">ORD1092</t>
  </si>
  <si>
    <t xml:space="preserve">ORD1093</t>
  </si>
  <si>
    <t xml:space="preserve">ORD1094</t>
  </si>
  <si>
    <t xml:space="preserve">ORD1095</t>
  </si>
  <si>
    <t xml:space="preserve">ORD1096</t>
  </si>
  <si>
    <t xml:space="preserve">ORD1097</t>
  </si>
  <si>
    <t xml:space="preserve">ORD1098</t>
  </si>
  <si>
    <t xml:space="preserve">ORD1099</t>
  </si>
  <si>
    <t xml:space="preserve">ORD1100</t>
  </si>
  <si>
    <t xml:space="preserve">ORD1101</t>
  </si>
  <si>
    <t xml:space="preserve">ORD1102</t>
  </si>
  <si>
    <t xml:space="preserve">ORD1103</t>
  </si>
  <si>
    <t xml:space="preserve">ORD1104</t>
  </si>
  <si>
    <t xml:space="preserve">ORD1105</t>
  </si>
  <si>
    <t xml:space="preserve">ORD1106</t>
  </si>
  <si>
    <t xml:space="preserve">ORD1107</t>
  </si>
  <si>
    <t xml:space="preserve">ORD1108</t>
  </si>
  <si>
    <t xml:space="preserve">ORD1109</t>
  </si>
  <si>
    <t xml:space="preserve">ORD1110</t>
  </si>
  <si>
    <t xml:space="preserve">ORD1111</t>
  </si>
  <si>
    <t xml:space="preserve">ORD1112</t>
  </si>
  <si>
    <t xml:space="preserve">ORD1113</t>
  </si>
  <si>
    <t xml:space="preserve">ORD1114</t>
  </si>
  <si>
    <t xml:space="preserve">ORD1115</t>
  </si>
  <si>
    <t xml:space="preserve">ORD1116</t>
  </si>
  <si>
    <t xml:space="preserve">ORD1117</t>
  </si>
  <si>
    <t xml:space="preserve">ORD1118</t>
  </si>
  <si>
    <t xml:space="preserve">ORD1119</t>
  </si>
  <si>
    <t xml:space="preserve">ORD1120</t>
  </si>
  <si>
    <t xml:space="preserve">ORD1121</t>
  </si>
  <si>
    <t xml:space="preserve">ORD1122</t>
  </si>
  <si>
    <t xml:space="preserve">ORD1123</t>
  </si>
  <si>
    <t xml:space="preserve">ORD1124</t>
  </si>
  <si>
    <t xml:space="preserve">ORD1125</t>
  </si>
  <si>
    <t xml:space="preserve">ORD1126</t>
  </si>
  <si>
    <t xml:space="preserve">ORD1127</t>
  </si>
  <si>
    <t xml:space="preserve">ORD1128</t>
  </si>
  <si>
    <t xml:space="preserve">ORD1129</t>
  </si>
  <si>
    <t xml:space="preserve">ORD1130</t>
  </si>
  <si>
    <t xml:space="preserve">ORD1131</t>
  </si>
  <si>
    <t xml:space="preserve">ORD1132</t>
  </si>
  <si>
    <t xml:space="preserve">ORD1133</t>
  </si>
  <si>
    <t xml:space="preserve">ORD1134</t>
  </si>
  <si>
    <t xml:space="preserve">ORD1135</t>
  </si>
  <si>
    <t xml:space="preserve">ORD1136</t>
  </si>
  <si>
    <t xml:space="preserve">ORD1137</t>
  </si>
  <si>
    <t xml:space="preserve">ORD1138</t>
  </si>
  <si>
    <t xml:space="preserve">ORD1139</t>
  </si>
  <si>
    <t xml:space="preserve">ORD1140</t>
  </si>
  <si>
    <t xml:space="preserve">ORD1141</t>
  </si>
  <si>
    <t xml:space="preserve">ORD1142</t>
  </si>
  <si>
    <t xml:space="preserve">ORD1143</t>
  </si>
  <si>
    <t xml:space="preserve">ORD1144</t>
  </si>
  <si>
    <t xml:space="preserve">ORD1145</t>
  </si>
  <si>
    <t xml:space="preserve">ORD1146</t>
  </si>
  <si>
    <t xml:space="preserve">ORD1147</t>
  </si>
  <si>
    <t xml:space="preserve">ORD1148</t>
  </si>
  <si>
    <t xml:space="preserve">ORD1149</t>
  </si>
  <si>
    <t xml:space="preserve">ORD1150</t>
  </si>
  <si>
    <t xml:space="preserve">ORD1151</t>
  </si>
  <si>
    <t xml:space="preserve">ORD1152</t>
  </si>
  <si>
    <t xml:space="preserve">ORD1153</t>
  </si>
  <si>
    <t xml:space="preserve">ORD1154</t>
  </si>
  <si>
    <t xml:space="preserve">ORD1155</t>
  </si>
  <si>
    <t xml:space="preserve">ORD1156</t>
  </si>
  <si>
    <t xml:space="preserve">ORD1157</t>
  </si>
  <si>
    <t xml:space="preserve">ORD1158</t>
  </si>
  <si>
    <t xml:space="preserve">ORD1159</t>
  </si>
  <si>
    <t xml:space="preserve">ORD1160</t>
  </si>
  <si>
    <t xml:space="preserve">ORD1161</t>
  </si>
  <si>
    <t xml:space="preserve">ORD1162</t>
  </si>
  <si>
    <t xml:space="preserve">ORD1163</t>
  </si>
  <si>
    <t xml:space="preserve">ORD1164</t>
  </si>
  <si>
    <t xml:space="preserve">ORD1165</t>
  </si>
  <si>
    <t xml:space="preserve">ORD1166</t>
  </si>
  <si>
    <t xml:space="preserve">ORD1167</t>
  </si>
  <si>
    <t xml:space="preserve">ORD1168</t>
  </si>
  <si>
    <t xml:space="preserve">ORD1169</t>
  </si>
  <si>
    <t xml:space="preserve">ORD1170</t>
  </si>
  <si>
    <t xml:space="preserve">ORD1171</t>
  </si>
  <si>
    <t xml:space="preserve">ORD1172</t>
  </si>
  <si>
    <t xml:space="preserve">ORD1173</t>
  </si>
  <si>
    <t xml:space="preserve">ORD1174</t>
  </si>
  <si>
    <t xml:space="preserve">ORD1175</t>
  </si>
  <si>
    <t xml:space="preserve">ORD1176</t>
  </si>
  <si>
    <t xml:space="preserve">ORD1177</t>
  </si>
  <si>
    <t xml:space="preserve">ORD1178</t>
  </si>
  <si>
    <t xml:space="preserve">ORD1179</t>
  </si>
  <si>
    <t xml:space="preserve">ORD1180</t>
  </si>
  <si>
    <t xml:space="preserve">ORD1181</t>
  </si>
  <si>
    <t xml:space="preserve">ORD1182</t>
  </si>
  <si>
    <t xml:space="preserve">ORD1183</t>
  </si>
  <si>
    <t xml:space="preserve">ORD1184</t>
  </si>
  <si>
    <t xml:space="preserve">ORD1185</t>
  </si>
  <si>
    <t xml:space="preserve">ORD1186</t>
  </si>
  <si>
    <t xml:space="preserve">ORD1187</t>
  </si>
  <si>
    <t xml:space="preserve">ORD1188</t>
  </si>
  <si>
    <t xml:space="preserve">ORD1189</t>
  </si>
  <si>
    <t xml:space="preserve">ORD1190</t>
  </si>
  <si>
    <t xml:space="preserve">ORD1191</t>
  </si>
  <si>
    <t xml:space="preserve">ORD1192</t>
  </si>
  <si>
    <t xml:space="preserve">ORD1193</t>
  </si>
  <si>
    <t xml:space="preserve">ORD1194</t>
  </si>
  <si>
    <t xml:space="preserve">ORD1195</t>
  </si>
  <si>
    <t xml:space="preserve">ORD1196</t>
  </si>
  <si>
    <t xml:space="preserve">ORD1197</t>
  </si>
  <si>
    <t xml:space="preserve">ORD1198</t>
  </si>
  <si>
    <t xml:space="preserve">ORD1199</t>
  </si>
  <si>
    <t xml:space="preserve">ORD1200</t>
  </si>
  <si>
    <t xml:space="preserve">ORD1201</t>
  </si>
  <si>
    <t xml:space="preserve">ORD1202</t>
  </si>
  <si>
    <t xml:space="preserve">ORD1203</t>
  </si>
  <si>
    <t xml:space="preserve">ORD1204</t>
  </si>
  <si>
    <t xml:space="preserve">ORD1205</t>
  </si>
  <si>
    <t xml:space="preserve">ORD1206</t>
  </si>
  <si>
    <t xml:space="preserve">ORD1207</t>
  </si>
  <si>
    <t xml:space="preserve">ORD1208</t>
  </si>
  <si>
    <t xml:space="preserve">ORD1209</t>
  </si>
  <si>
    <t xml:space="preserve">ORD1210</t>
  </si>
  <si>
    <t xml:space="preserve">ORD1211</t>
  </si>
  <si>
    <t xml:space="preserve">ORD1212</t>
  </si>
  <si>
    <t xml:space="preserve">ORD1213</t>
  </si>
  <si>
    <t xml:space="preserve">ORD1214</t>
  </si>
  <si>
    <t xml:space="preserve">ORD1215</t>
  </si>
  <si>
    <t xml:space="preserve">ORD1216</t>
  </si>
  <si>
    <t xml:space="preserve">ORD1217</t>
  </si>
  <si>
    <t xml:space="preserve">ORD1218</t>
  </si>
  <si>
    <t xml:space="preserve">ORD1219</t>
  </si>
  <si>
    <t xml:space="preserve">ORD1220</t>
  </si>
  <si>
    <t xml:space="preserve">ORD1221</t>
  </si>
  <si>
    <t xml:space="preserve">ORD1222</t>
  </si>
  <si>
    <t xml:space="preserve">ORD1223</t>
  </si>
  <si>
    <t xml:space="preserve">ORD1224</t>
  </si>
  <si>
    <t xml:space="preserve">ORD1225</t>
  </si>
  <si>
    <t xml:space="preserve">ORD1226</t>
  </si>
  <si>
    <t xml:space="preserve">ORD1227</t>
  </si>
  <si>
    <t xml:space="preserve">ORD1228</t>
  </si>
  <si>
    <t xml:space="preserve">ORD1229</t>
  </si>
  <si>
    <t xml:space="preserve">ORD1230</t>
  </si>
  <si>
    <t xml:space="preserve">ORD1231</t>
  </si>
  <si>
    <t xml:space="preserve">ORD1232</t>
  </si>
  <si>
    <t xml:space="preserve">ORD1233</t>
  </si>
  <si>
    <t xml:space="preserve">ORD1234</t>
  </si>
  <si>
    <t xml:space="preserve">ORD1235</t>
  </si>
  <si>
    <t xml:space="preserve">ORD1236</t>
  </si>
  <si>
    <t xml:space="preserve">ORD1237</t>
  </si>
  <si>
    <t xml:space="preserve">ORD1238</t>
  </si>
  <si>
    <t xml:space="preserve">ORD1239</t>
  </si>
  <si>
    <t xml:space="preserve">ORD1240</t>
  </si>
  <si>
    <t xml:space="preserve">ORD1241</t>
  </si>
  <si>
    <t xml:space="preserve">ORD1242</t>
  </si>
  <si>
    <t xml:space="preserve">ORD1243</t>
  </si>
  <si>
    <t xml:space="preserve">ORD1244</t>
  </si>
  <si>
    <t xml:space="preserve">ORD1245</t>
  </si>
  <si>
    <t xml:space="preserve">ORD1246</t>
  </si>
  <si>
    <t xml:space="preserve">ORD1247</t>
  </si>
  <si>
    <t xml:space="preserve">ORD1248</t>
  </si>
  <si>
    <t xml:space="preserve">ORD1249</t>
  </si>
  <si>
    <t xml:space="preserve">ORD1250</t>
  </si>
  <si>
    <t xml:space="preserve">ORD1251</t>
  </si>
  <si>
    <t xml:space="preserve">ORD1252</t>
  </si>
  <si>
    <t xml:space="preserve">ORD1253</t>
  </si>
  <si>
    <t xml:space="preserve">ORD1254</t>
  </si>
  <si>
    <t xml:space="preserve">ORD1255</t>
  </si>
  <si>
    <t xml:space="preserve">ORD1256</t>
  </si>
  <si>
    <t xml:space="preserve">ORD1257</t>
  </si>
  <si>
    <t xml:space="preserve">ORD1258</t>
  </si>
  <si>
    <t xml:space="preserve">ORD1259</t>
  </si>
  <si>
    <t xml:space="preserve">ORD1260</t>
  </si>
  <si>
    <t xml:space="preserve">ORD1261</t>
  </si>
  <si>
    <t xml:space="preserve">ORD1262</t>
  </si>
  <si>
    <t xml:space="preserve">ORD1263</t>
  </si>
  <si>
    <t xml:space="preserve">ORD1264</t>
  </si>
  <si>
    <t xml:space="preserve">ORD1265</t>
  </si>
  <si>
    <t xml:space="preserve">ORD1266</t>
  </si>
  <si>
    <t xml:space="preserve">ORD1267</t>
  </si>
  <si>
    <t xml:space="preserve">ORD1268</t>
  </si>
  <si>
    <t xml:space="preserve">ORD1269</t>
  </si>
  <si>
    <t xml:space="preserve">ORD1270</t>
  </si>
  <si>
    <t xml:space="preserve">ORD1271</t>
  </si>
  <si>
    <t xml:space="preserve">ORD1272</t>
  </si>
  <si>
    <t xml:space="preserve">ORD1273</t>
  </si>
  <si>
    <t xml:space="preserve">ORD1274</t>
  </si>
  <si>
    <t xml:space="preserve">ORD1275</t>
  </si>
  <si>
    <t xml:space="preserve">ORD1276</t>
  </si>
  <si>
    <t xml:space="preserve">ORD1277</t>
  </si>
  <si>
    <t xml:space="preserve">ORD1278</t>
  </si>
  <si>
    <t xml:space="preserve">ORD1279</t>
  </si>
  <si>
    <t xml:space="preserve">ORD1280</t>
  </si>
  <si>
    <t xml:space="preserve">ORD1281</t>
  </si>
  <si>
    <t xml:space="preserve">ORD1282</t>
  </si>
  <si>
    <t xml:space="preserve">ORD1283</t>
  </si>
  <si>
    <t xml:space="preserve">ORD1284</t>
  </si>
  <si>
    <t xml:space="preserve">ORD1285</t>
  </si>
  <si>
    <t xml:space="preserve">ORD1286</t>
  </si>
  <si>
    <t xml:space="preserve">ORD1287</t>
  </si>
  <si>
    <t xml:space="preserve">ORD1288</t>
  </si>
  <si>
    <t xml:space="preserve">ORD1289</t>
  </si>
  <si>
    <t xml:space="preserve">ORD1290</t>
  </si>
  <si>
    <t xml:space="preserve">ORD1291</t>
  </si>
  <si>
    <t xml:space="preserve">ORD1292</t>
  </si>
  <si>
    <t xml:space="preserve">ORD1293</t>
  </si>
  <si>
    <t xml:space="preserve">ORD1294</t>
  </si>
  <si>
    <t xml:space="preserve">ORD1295</t>
  </si>
  <si>
    <t xml:space="preserve">ORD1296</t>
  </si>
  <si>
    <t xml:space="preserve">ORD1297</t>
  </si>
  <si>
    <t xml:space="preserve">ORD1298</t>
  </si>
  <si>
    <t xml:space="preserve">ORD1299</t>
  </si>
  <si>
    <t xml:space="preserve">ORD1300</t>
  </si>
  <si>
    <t xml:space="preserve">Shop Sales Analysis</t>
  </si>
  <si>
    <t xml:space="preserve">Sales by Category</t>
  </si>
  <si>
    <t xml:space="preserve">Sales by Region</t>
  </si>
  <si>
    <t xml:space="preserve">Sales by Payment Mode</t>
  </si>
  <si>
    <t xml:space="preserve">Monthly Sales Trend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</si>
  <si>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</si>
  <si>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</si>
  <si>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</si>
  <si>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</si>
  <si>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</si>
  <si>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</si>
  <si>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</si>
  <si>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</si>
  <si>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</si>
  <si>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</si>
  <si>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</si>
  <si>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</si>
  <si>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</si>
  <si>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Top 5 Products by Quantity Sold</t>
  </si>
  <si>
    <t xml:space="preserve">Total Qty Sold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</si>
</sst>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dd\-mmm\-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Analysis!$A$5:$A$10</c:f>
              <c:strCache>
                <c:ptCount val="6"/>
                <c:pt idx="0">
                  <c:v>Apparel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  <c:pt idx="4">
                  <c:v>Personal Care</c:v>
                </c:pt>
                <c:pt idx="5">
                  <c:v>Stationery</c:v>
                </c:pt>
              </c:strCache>
            </c:strRef>
          </c:cat>
          <c:val>
            <c:numRef>
              <c:f>Analysis!$B$5:$B$10</c:f>
              <c:numCache>
                <c:formatCode>#,##0</c:formatCode>
                <c:ptCount val="6"/>
                <c:pt idx="0">
                  <c:v>206554</c:v>
                </c:pt>
                <c:pt idx="1">
                  <c:v>140196</c:v>
                </c:pt>
                <c:pt idx="2">
                  <c:v>713713</c:v>
                </c:pt>
                <c:pt idx="3">
                  <c:v>90655</c:v>
                </c:pt>
                <c:pt idx="4">
                  <c:v>31967</c:v>
                </c:pt>
                <c:pt idx="5">
                  <c:v>12510</c:v>
                </c:pt>
              </c:numCache>
            </c:numRef>
          </c:val>
        </c:ser>
        <c:gapWidth val="150"/>
        <c:overlap val="0"/>
        <c:axId val="45198108"/>
        <c:axId val="27813320"/>
      </c:barChart>
      <c:catAx>
        <c:axId val="451981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13320"/>
        <c:crosses val="autoZero"/>
        <c:auto val="1"/>
        <c:lblAlgn val="ctr"/>
        <c:lblOffset val="100"/>
        <c:noMultiLvlLbl val="0"/>
      </c:catAx>
      <c:valAx>
        <c:axId val="27813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981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Analysis!E4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Analysis!$D$5:$D$8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Analysis!$E$5:$E$8</c:f>
              <c:numCache>
                <c:formatCode>#,##0</c:formatCode>
                <c:ptCount val="4"/>
                <c:pt idx="0">
                  <c:v>233917</c:v>
                </c:pt>
                <c:pt idx="1">
                  <c:v>405976</c:v>
                </c:pt>
                <c:pt idx="2">
                  <c:v>248941</c:v>
                </c:pt>
                <c:pt idx="3">
                  <c:v>306761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Analysis!B13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Analysis!$B$14:$B$25</c:f>
              <c:numCache>
                <c:formatCode>#,##0</c:formatCode>
                <c:ptCount val="12"/>
                <c:pt idx="0">
                  <c:v>78564</c:v>
                </c:pt>
                <c:pt idx="1">
                  <c:v>133757</c:v>
                </c:pt>
                <c:pt idx="2">
                  <c:v>49852</c:v>
                </c:pt>
                <c:pt idx="3">
                  <c:v>120521</c:v>
                </c:pt>
                <c:pt idx="4">
                  <c:v>129517</c:v>
                </c:pt>
                <c:pt idx="5">
                  <c:v>104548</c:v>
                </c:pt>
                <c:pt idx="6">
                  <c:v>96132</c:v>
                </c:pt>
                <c:pt idx="7">
                  <c:v>86726</c:v>
                </c:pt>
                <c:pt idx="8">
                  <c:v>81978</c:v>
                </c:pt>
                <c:pt idx="9">
                  <c:v>127574</c:v>
                </c:pt>
                <c:pt idx="10">
                  <c:v>75852</c:v>
                </c:pt>
                <c:pt idx="11">
                  <c:v>110574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737778"/>
        <c:axId val="30484209"/>
      </c:lineChart>
      <c:catAx>
        <c:axId val="177377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84209"/>
        <c:crosses val="autoZero"/>
        <c:auto val="1"/>
        <c:lblAlgn val="ctr"/>
        <c:lblOffset val="100"/>
        <c:noMultiLvlLbl val="0"/>
      </c:catAx>
      <c:valAx>
        <c:axId val="304842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377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160560</xdr:rowOff>
    </xdr:from>
    <xdr:to>
      <xdr:col>17</xdr:col>
      <xdr:colOff>147600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737820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160560</xdr:rowOff>
    </xdr:from>
    <xdr:to>
      <xdr:col>17</xdr:col>
      <xdr:colOff>147600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737820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35</xdr:row>
      <xdr:rowOff>160560</xdr:rowOff>
    </xdr:from>
    <xdr:to>
      <xdr:col>17</xdr:col>
      <xdr:colOff>147600</xdr:colOff>
      <xdr:row>50</xdr:row>
      <xdr:rowOff>182880</xdr:rowOff>
    </xdr:to>
    <xdr:graphicFrame>
      <xdr:nvGraphicFramePr>
        <xdr:cNvPr id="2" name="Chart 3"/>
        <xdr:cNvGraphicFramePr/>
      </xdr:nvGraphicFramePr>
      <xdr:xfrm>
        <a:off x="7378200" y="6858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n">
        <f aca="false">SUM('Raw Data'!$G$2:$G$301)</f>
        <v>1195595</v>
      </c>
    </row>
    <row r="4" customFormat="false" ht="15" hidden="false" customHeight="false" outlineLevel="0" collapsed="false">
      <c r="A4" s="2" t="s">
        <v>2</v>
      </c>
      <c r="B4" s="3" t="n">
        <f aca="false">COUNTA('Raw Data'!$A$2:$A$301)</f>
        <v>300</v>
      </c>
    </row>
    <row r="5" customFormat="false" ht="15" hidden="false" customHeight="false" outlineLevel="0" collapsed="false">
      <c r="A5" s="2" t="s">
        <v>3</v>
      </c>
      <c r="B5" s="3" t="n">
        <f aca="false">SUM('Raw Data'!$G$2:$G$301)/COUNTA('Raw Data'!$A$2:$A$301)</f>
        <v>3985.31666666667</v>
      </c>
    </row>
    <row r="6" customFormat="false" ht="15" hidden="false" customHeight="false" outlineLevel="0" collapsed="false">
      <c r="A6" s="2" t="s">
        <v>4</v>
      </c>
      <c r="B6" s="4" t="str">
        <f aca="false">INDEX(Analysis!A5:A10,MATCH(MAX(Analysis!B5:B10),Analysis!B5:B10,0))</f>
        <v>Furniture</v>
      </c>
    </row>
    <row r="9" customFormat="false" ht="15" hidden="false" customHeight="false" outlineLevel="0" collapsed="false">
      <c r="A9" s="5" t="s">
        <v>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6" t="s">
        <v>6</v>
      </c>
      <c r="B1" s="6" t="s">
        <v>7</v>
      </c>
      <c r="C1" s="6" t="s">
        <v>8</v>
      </c>
    </row>
    <row r="2" customFormat="false" ht="15" hidden="false" customHeight="false" outlineLevel="0" collapsed="false">
      <c r="A2" s="7" t="s">
        <v>9</v>
      </c>
      <c r="B2" s="7" t="s">
        <v>10</v>
      </c>
      <c r="C2" s="7" t="n">
        <v>599</v>
      </c>
    </row>
    <row r="3" customFormat="false" ht="15" hidden="false" customHeight="false" outlineLevel="0" collapsed="false">
      <c r="A3" s="7" t="s">
        <v>11</v>
      </c>
      <c r="B3" s="7" t="s">
        <v>10</v>
      </c>
      <c r="C3" s="7" t="n">
        <v>1499</v>
      </c>
    </row>
    <row r="4" customFormat="false" ht="15" hidden="false" customHeight="false" outlineLevel="0" collapsed="false">
      <c r="A4" s="7" t="s">
        <v>12</v>
      </c>
      <c r="B4" s="7" t="s">
        <v>10</v>
      </c>
      <c r="C4" s="7" t="n">
        <v>149</v>
      </c>
    </row>
    <row r="5" customFormat="false" ht="15" hidden="false" customHeight="false" outlineLevel="0" collapsed="false">
      <c r="A5" s="7" t="s">
        <v>13</v>
      </c>
      <c r="B5" s="7" t="s">
        <v>14</v>
      </c>
      <c r="C5" s="7" t="n">
        <v>60</v>
      </c>
    </row>
    <row r="6" customFormat="false" ht="15" hidden="false" customHeight="false" outlineLevel="0" collapsed="false">
      <c r="A6" s="7" t="s">
        <v>15</v>
      </c>
      <c r="B6" s="7" t="s">
        <v>14</v>
      </c>
      <c r="C6" s="7" t="n">
        <v>40</v>
      </c>
    </row>
    <row r="7" customFormat="false" ht="15" hidden="false" customHeight="false" outlineLevel="0" collapsed="false">
      <c r="A7" s="7" t="s">
        <v>16</v>
      </c>
      <c r="B7" s="7" t="s">
        <v>14</v>
      </c>
      <c r="C7" s="7" t="n">
        <v>90</v>
      </c>
    </row>
    <row r="8" customFormat="false" ht="15" hidden="false" customHeight="false" outlineLevel="0" collapsed="false">
      <c r="A8" s="7" t="s">
        <v>17</v>
      </c>
      <c r="B8" s="7" t="s">
        <v>18</v>
      </c>
      <c r="C8" s="7" t="n">
        <v>3499</v>
      </c>
    </row>
    <row r="9" customFormat="false" ht="15" hidden="false" customHeight="false" outlineLevel="0" collapsed="false">
      <c r="A9" s="7" t="s">
        <v>19</v>
      </c>
      <c r="B9" s="7" t="s">
        <v>18</v>
      </c>
      <c r="C9" s="7" t="n">
        <v>2999</v>
      </c>
    </row>
    <row r="10" customFormat="false" ht="15" hidden="false" customHeight="false" outlineLevel="0" collapsed="false">
      <c r="A10" s="7" t="s">
        <v>20</v>
      </c>
      <c r="B10" s="7" t="s">
        <v>18</v>
      </c>
      <c r="C10" s="7" t="n">
        <v>799</v>
      </c>
    </row>
    <row r="11" customFormat="false" ht="15" hidden="false" customHeight="false" outlineLevel="0" collapsed="false">
      <c r="A11" s="7" t="s">
        <v>21</v>
      </c>
      <c r="B11" s="7" t="s">
        <v>22</v>
      </c>
      <c r="C11" s="7" t="n">
        <v>199</v>
      </c>
    </row>
    <row r="12" customFormat="false" ht="15" hidden="false" customHeight="false" outlineLevel="0" collapsed="false">
      <c r="A12" s="7" t="s">
        <v>23</v>
      </c>
      <c r="B12" s="7" t="s">
        <v>22</v>
      </c>
      <c r="C12" s="7" t="n">
        <v>349</v>
      </c>
    </row>
    <row r="13" customFormat="false" ht="15" hidden="false" customHeight="false" outlineLevel="0" collapsed="false">
      <c r="A13" s="7" t="s">
        <v>24</v>
      </c>
      <c r="B13" s="7" t="s">
        <v>22</v>
      </c>
      <c r="C13" s="7" t="n">
        <v>899</v>
      </c>
    </row>
    <row r="14" customFormat="false" ht="15" hidden="false" customHeight="false" outlineLevel="0" collapsed="false">
      <c r="A14" s="7" t="s">
        <v>25</v>
      </c>
      <c r="B14" s="7" t="s">
        <v>26</v>
      </c>
      <c r="C14" s="7" t="n">
        <v>499</v>
      </c>
    </row>
    <row r="15" customFormat="false" ht="15" hidden="false" customHeight="false" outlineLevel="0" collapsed="false">
      <c r="A15" s="7" t="s">
        <v>27</v>
      </c>
      <c r="B15" s="7" t="s">
        <v>26</v>
      </c>
      <c r="C15" s="7" t="n">
        <v>1299</v>
      </c>
    </row>
    <row r="16" customFormat="false" ht="15" hidden="false" customHeight="false" outlineLevel="0" collapsed="false">
      <c r="A16" s="7" t="s">
        <v>28</v>
      </c>
      <c r="B16" s="7" t="s">
        <v>26</v>
      </c>
      <c r="C16" s="7" t="n">
        <v>249</v>
      </c>
    </row>
    <row r="17" customFormat="false" ht="15" hidden="false" customHeight="false" outlineLevel="0" collapsed="false">
      <c r="A17" s="7" t="s">
        <v>29</v>
      </c>
      <c r="B17" s="7" t="s">
        <v>30</v>
      </c>
      <c r="C17" s="7" t="n">
        <v>179</v>
      </c>
    </row>
    <row r="18" customFormat="false" ht="15" hidden="false" customHeight="false" outlineLevel="0" collapsed="false">
      <c r="A18" s="7" t="s">
        <v>31</v>
      </c>
      <c r="B18" s="7" t="s">
        <v>30</v>
      </c>
      <c r="C18" s="7" t="n">
        <v>220</v>
      </c>
    </row>
    <row r="19" customFormat="false" ht="15" hidden="false" customHeight="false" outlineLevel="0" collapsed="false">
      <c r="A19" s="7" t="s">
        <v>32</v>
      </c>
      <c r="B19" s="7" t="s">
        <v>30</v>
      </c>
      <c r="C19" s="7" t="n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6" t="s">
        <v>33</v>
      </c>
      <c r="B1" s="6" t="s">
        <v>34</v>
      </c>
      <c r="C1" s="6" t="s">
        <v>6</v>
      </c>
      <c r="D1" s="6" t="s">
        <v>7</v>
      </c>
      <c r="E1" s="6" t="s">
        <v>8</v>
      </c>
      <c r="F1" s="6" t="s">
        <v>35</v>
      </c>
      <c r="G1" s="6" t="s">
        <v>1</v>
      </c>
      <c r="H1" s="6" t="s">
        <v>36</v>
      </c>
      <c r="I1" s="6" t="s">
        <v>37</v>
      </c>
    </row>
    <row r="2" customFormat="false" ht="15" hidden="false" customHeight="false" outlineLevel="0" collapsed="false">
      <c r="A2" s="7" t="s">
        <v>38</v>
      </c>
      <c r="B2" s="8" t="n">
        <v>45985</v>
      </c>
      <c r="C2" s="7" t="s">
        <v>13</v>
      </c>
      <c r="D2" s="7" t="str">
        <f aca="false">INDEX('Price Lookup'!$B$2:$B$19,MATCH(C2,'Price Lookup'!$A$2:$A$19,0))</f>
        <v>Stationery</v>
      </c>
      <c r="E2" s="7" t="n">
        <f aca="false">INDEX('Price Lookup'!$C$2:$C$19,MATCH(C2,'Price Lookup'!$A$2:$A$19,0))</f>
        <v>60</v>
      </c>
      <c r="F2" s="7" t="n">
        <v>1</v>
      </c>
      <c r="G2" s="9" t="n">
        <f aca="false">E2*F2</f>
        <v>60</v>
      </c>
      <c r="H2" s="7" t="s">
        <v>39</v>
      </c>
      <c r="I2" s="7" t="s">
        <v>40</v>
      </c>
    </row>
    <row r="3" customFormat="false" ht="15" hidden="false" customHeight="false" outlineLevel="0" collapsed="false">
      <c r="A3" s="7" t="s">
        <v>41</v>
      </c>
      <c r="B3" s="8" t="n">
        <v>45772</v>
      </c>
      <c r="C3" s="7" t="s">
        <v>15</v>
      </c>
      <c r="D3" s="7" t="str">
        <f aca="false">INDEX('Price Lookup'!$B$2:$B$19,MATCH(C3,'Price Lookup'!$A$2:$A$19,0))</f>
        <v>Stationery</v>
      </c>
      <c r="E3" s="7" t="n">
        <f aca="false">INDEX('Price Lookup'!$C$2:$C$19,MATCH(C3,'Price Lookup'!$A$2:$A$19,0))</f>
        <v>40</v>
      </c>
      <c r="F3" s="7" t="n">
        <v>2</v>
      </c>
      <c r="G3" s="9" t="n">
        <f aca="false">E3*F3</f>
        <v>80</v>
      </c>
      <c r="H3" s="7" t="s">
        <v>42</v>
      </c>
      <c r="I3" s="7" t="s">
        <v>43</v>
      </c>
    </row>
    <row r="4" customFormat="false" ht="15" hidden="false" customHeight="false" outlineLevel="0" collapsed="false">
      <c r="A4" s="7" t="s">
        <v>44</v>
      </c>
      <c r="B4" s="8" t="n">
        <v>45674</v>
      </c>
      <c r="C4" s="7" t="s">
        <v>9</v>
      </c>
      <c r="D4" s="7" t="str">
        <f aca="false">INDEX('Price Lookup'!$B$2:$B$19,MATCH(C4,'Price Lookup'!$A$2:$A$19,0))</f>
        <v>Electronics</v>
      </c>
      <c r="E4" s="7" t="n">
        <f aca="false">INDEX('Price Lookup'!$C$2:$C$19,MATCH(C4,'Price Lookup'!$A$2:$A$19,0))</f>
        <v>599</v>
      </c>
      <c r="F4" s="7" t="n">
        <v>2</v>
      </c>
      <c r="G4" s="9" t="n">
        <f aca="false">E4*F4</f>
        <v>1198</v>
      </c>
      <c r="H4" s="7" t="s">
        <v>45</v>
      </c>
      <c r="I4" s="7" t="s">
        <v>40</v>
      </c>
    </row>
    <row r="5" customFormat="false" ht="15" hidden="false" customHeight="false" outlineLevel="0" collapsed="false">
      <c r="A5" s="7" t="s">
        <v>46</v>
      </c>
      <c r="B5" s="8" t="n">
        <v>45916</v>
      </c>
      <c r="C5" s="7" t="s">
        <v>9</v>
      </c>
      <c r="D5" s="7" t="str">
        <f aca="false">INDEX('Price Lookup'!$B$2:$B$19,MATCH(C5,'Price Lookup'!$A$2:$A$19,0))</f>
        <v>Electronics</v>
      </c>
      <c r="E5" s="7" t="n">
        <f aca="false">INDEX('Price Lookup'!$C$2:$C$19,MATCH(C5,'Price Lookup'!$A$2:$A$19,0))</f>
        <v>599</v>
      </c>
      <c r="F5" s="7" t="n">
        <v>4</v>
      </c>
      <c r="G5" s="9" t="n">
        <f aca="false">E5*F5</f>
        <v>2396</v>
      </c>
      <c r="H5" s="7" t="s">
        <v>47</v>
      </c>
      <c r="I5" s="7" t="s">
        <v>40</v>
      </c>
    </row>
    <row r="6" customFormat="false" ht="15" hidden="false" customHeight="false" outlineLevel="0" collapsed="false">
      <c r="A6" s="7" t="s">
        <v>48</v>
      </c>
      <c r="B6" s="8" t="n">
        <v>45887</v>
      </c>
      <c r="C6" s="7" t="s">
        <v>20</v>
      </c>
      <c r="D6" s="7" t="str">
        <f aca="false">INDEX('Price Lookup'!$B$2:$B$19,MATCH(C6,'Price Lookup'!$A$2:$A$19,0))</f>
        <v>Furniture</v>
      </c>
      <c r="E6" s="7" t="n">
        <f aca="false">INDEX('Price Lookup'!$C$2:$C$19,MATCH(C6,'Price Lookup'!$A$2:$A$19,0))</f>
        <v>799</v>
      </c>
      <c r="F6" s="7" t="n">
        <v>1</v>
      </c>
      <c r="G6" s="9" t="n">
        <f aca="false">E6*F6</f>
        <v>799</v>
      </c>
      <c r="H6" s="7" t="s">
        <v>45</v>
      </c>
      <c r="I6" s="7" t="s">
        <v>43</v>
      </c>
    </row>
    <row r="7" customFormat="false" ht="15" hidden="false" customHeight="false" outlineLevel="0" collapsed="false">
      <c r="A7" s="7" t="s">
        <v>49</v>
      </c>
      <c r="B7" s="8" t="n">
        <v>45832</v>
      </c>
      <c r="C7" s="7" t="s">
        <v>20</v>
      </c>
      <c r="D7" s="7" t="str">
        <f aca="false">INDEX('Price Lookup'!$B$2:$B$19,MATCH(C7,'Price Lookup'!$A$2:$A$19,0))</f>
        <v>Furniture</v>
      </c>
      <c r="E7" s="7" t="n">
        <f aca="false">INDEX('Price Lookup'!$C$2:$C$19,MATCH(C7,'Price Lookup'!$A$2:$A$19,0))</f>
        <v>799</v>
      </c>
      <c r="F7" s="7" t="n">
        <v>3</v>
      </c>
      <c r="G7" s="9" t="n">
        <f aca="false">E7*F7</f>
        <v>2397</v>
      </c>
      <c r="H7" s="7" t="s">
        <v>45</v>
      </c>
      <c r="I7" s="7" t="s">
        <v>50</v>
      </c>
    </row>
    <row r="8" customFormat="false" ht="15" hidden="false" customHeight="false" outlineLevel="0" collapsed="false">
      <c r="A8" s="7" t="s">
        <v>51</v>
      </c>
      <c r="B8" s="8" t="n">
        <v>45710</v>
      </c>
      <c r="C8" s="7" t="s">
        <v>12</v>
      </c>
      <c r="D8" s="7" t="str">
        <f aca="false">INDEX('Price Lookup'!$B$2:$B$19,MATCH(C8,'Price Lookup'!$A$2:$A$19,0))</f>
        <v>Electronics</v>
      </c>
      <c r="E8" s="7" t="n">
        <f aca="false">INDEX('Price Lookup'!$C$2:$C$19,MATCH(C8,'Price Lookup'!$A$2:$A$19,0))</f>
        <v>149</v>
      </c>
      <c r="F8" s="7" t="n">
        <v>7</v>
      </c>
      <c r="G8" s="9" t="n">
        <f aca="false">E8*F8</f>
        <v>1043</v>
      </c>
      <c r="H8" s="7" t="s">
        <v>42</v>
      </c>
      <c r="I8" s="7" t="s">
        <v>50</v>
      </c>
    </row>
    <row r="9" customFormat="false" ht="15" hidden="false" customHeight="false" outlineLevel="0" collapsed="false">
      <c r="A9" s="7" t="s">
        <v>52</v>
      </c>
      <c r="B9" s="8" t="n">
        <v>45834</v>
      </c>
      <c r="C9" s="7" t="s">
        <v>20</v>
      </c>
      <c r="D9" s="7" t="str">
        <f aca="false">INDEX('Price Lookup'!$B$2:$B$19,MATCH(C9,'Price Lookup'!$A$2:$A$19,0))</f>
        <v>Furniture</v>
      </c>
      <c r="E9" s="7" t="n">
        <f aca="false">INDEX('Price Lookup'!$C$2:$C$19,MATCH(C9,'Price Lookup'!$A$2:$A$19,0))</f>
        <v>799</v>
      </c>
      <c r="F9" s="7" t="n">
        <v>1</v>
      </c>
      <c r="G9" s="9" t="n">
        <f aca="false">E9*F9</f>
        <v>799</v>
      </c>
      <c r="H9" s="7" t="s">
        <v>47</v>
      </c>
      <c r="I9" s="7" t="s">
        <v>53</v>
      </c>
    </row>
    <row r="10" customFormat="false" ht="15" hidden="false" customHeight="false" outlineLevel="0" collapsed="false">
      <c r="A10" s="7" t="s">
        <v>54</v>
      </c>
      <c r="B10" s="8" t="n">
        <v>45851</v>
      </c>
      <c r="C10" s="7" t="s">
        <v>12</v>
      </c>
      <c r="D10" s="7" t="str">
        <f aca="false">INDEX('Price Lookup'!$B$2:$B$19,MATCH(C10,'Price Lookup'!$A$2:$A$19,0))</f>
        <v>Electronics</v>
      </c>
      <c r="E10" s="7" t="n">
        <f aca="false">INDEX('Price Lookup'!$C$2:$C$19,MATCH(C10,'Price Lookup'!$A$2:$A$19,0))</f>
        <v>149</v>
      </c>
      <c r="F10" s="7" t="n">
        <v>5</v>
      </c>
      <c r="G10" s="9" t="n">
        <f aca="false">E10*F10</f>
        <v>745</v>
      </c>
      <c r="H10" s="7" t="s">
        <v>39</v>
      </c>
      <c r="I10" s="7" t="s">
        <v>40</v>
      </c>
    </row>
    <row r="11" customFormat="false" ht="15" hidden="false" customHeight="false" outlineLevel="0" collapsed="false">
      <c r="A11" s="7" t="s">
        <v>55</v>
      </c>
      <c r="B11" s="8" t="n">
        <v>46018</v>
      </c>
      <c r="C11" s="7" t="s">
        <v>12</v>
      </c>
      <c r="D11" s="7" t="str">
        <f aca="false">INDEX('Price Lookup'!$B$2:$B$19,MATCH(C11,'Price Lookup'!$A$2:$A$19,0))</f>
        <v>Electronics</v>
      </c>
      <c r="E11" s="7" t="n">
        <f aca="false">INDEX('Price Lookup'!$C$2:$C$19,MATCH(C11,'Price Lookup'!$A$2:$A$19,0))</f>
        <v>149</v>
      </c>
      <c r="F11" s="7" t="n">
        <v>1</v>
      </c>
      <c r="G11" s="9" t="n">
        <f aca="false">E11*F11</f>
        <v>149</v>
      </c>
      <c r="H11" s="7" t="s">
        <v>45</v>
      </c>
      <c r="I11" s="7" t="s">
        <v>50</v>
      </c>
    </row>
    <row r="12" customFormat="false" ht="15" hidden="false" customHeight="false" outlineLevel="0" collapsed="false">
      <c r="A12" s="7" t="s">
        <v>56</v>
      </c>
      <c r="B12" s="8" t="n">
        <v>45698</v>
      </c>
      <c r="C12" s="7" t="s">
        <v>19</v>
      </c>
      <c r="D12" s="7" t="str">
        <f aca="false">INDEX('Price Lookup'!$B$2:$B$19,MATCH(C12,'Price Lookup'!$A$2:$A$19,0))</f>
        <v>Furniture</v>
      </c>
      <c r="E12" s="7" t="n">
        <f aca="false">INDEX('Price Lookup'!$C$2:$C$19,MATCH(C12,'Price Lookup'!$A$2:$A$19,0))</f>
        <v>2999</v>
      </c>
      <c r="F12" s="7" t="n">
        <v>2</v>
      </c>
      <c r="G12" s="9" t="n">
        <f aca="false">E12*F12</f>
        <v>5998</v>
      </c>
      <c r="H12" s="7" t="s">
        <v>47</v>
      </c>
      <c r="I12" s="7" t="s">
        <v>50</v>
      </c>
    </row>
    <row r="13" customFormat="false" ht="15" hidden="false" customHeight="false" outlineLevel="0" collapsed="false">
      <c r="A13" s="7" t="s">
        <v>57</v>
      </c>
      <c r="B13" s="8" t="n">
        <v>45890</v>
      </c>
      <c r="C13" s="7" t="s">
        <v>24</v>
      </c>
      <c r="D13" s="7" t="str">
        <f aca="false">INDEX('Price Lookup'!$B$2:$B$19,MATCH(C13,'Price Lookup'!$A$2:$A$19,0))</f>
        <v>Home &amp; Kitchen</v>
      </c>
      <c r="E13" s="7" t="n">
        <f aca="false">INDEX('Price Lookup'!$C$2:$C$19,MATCH(C13,'Price Lookup'!$A$2:$A$19,0))</f>
        <v>899</v>
      </c>
      <c r="F13" s="7" t="n">
        <v>3</v>
      </c>
      <c r="G13" s="9" t="n">
        <f aca="false">E13*F13</f>
        <v>2697</v>
      </c>
      <c r="H13" s="7" t="s">
        <v>39</v>
      </c>
      <c r="I13" s="7" t="s">
        <v>50</v>
      </c>
    </row>
    <row r="14" customFormat="false" ht="15" hidden="false" customHeight="false" outlineLevel="0" collapsed="false">
      <c r="A14" s="7" t="s">
        <v>58</v>
      </c>
      <c r="B14" s="8" t="n">
        <v>45765</v>
      </c>
      <c r="C14" s="7" t="s">
        <v>20</v>
      </c>
      <c r="D14" s="7" t="str">
        <f aca="false">INDEX('Price Lookup'!$B$2:$B$19,MATCH(C14,'Price Lookup'!$A$2:$A$19,0))</f>
        <v>Furniture</v>
      </c>
      <c r="E14" s="7" t="n">
        <f aca="false">INDEX('Price Lookup'!$C$2:$C$19,MATCH(C14,'Price Lookup'!$A$2:$A$19,0))</f>
        <v>799</v>
      </c>
      <c r="F14" s="7" t="n">
        <v>2</v>
      </c>
      <c r="G14" s="9" t="n">
        <f aca="false">E14*F14</f>
        <v>1598</v>
      </c>
      <c r="H14" s="7" t="s">
        <v>45</v>
      </c>
      <c r="I14" s="7" t="s">
        <v>40</v>
      </c>
    </row>
    <row r="15" customFormat="false" ht="15" hidden="false" customHeight="false" outlineLevel="0" collapsed="false">
      <c r="A15" s="7" t="s">
        <v>59</v>
      </c>
      <c r="B15" s="8" t="n">
        <v>45741</v>
      </c>
      <c r="C15" s="7" t="s">
        <v>28</v>
      </c>
      <c r="D15" s="7" t="str">
        <f aca="false">INDEX('Price Lookup'!$B$2:$B$19,MATCH(C15,'Price Lookup'!$A$2:$A$19,0))</f>
        <v>Apparel</v>
      </c>
      <c r="E15" s="7" t="n">
        <f aca="false">INDEX('Price Lookup'!$C$2:$C$19,MATCH(C15,'Price Lookup'!$A$2:$A$19,0))</f>
        <v>249</v>
      </c>
      <c r="F15" s="7" t="n">
        <v>7</v>
      </c>
      <c r="G15" s="9" t="n">
        <f aca="false">E15*F15</f>
        <v>1743</v>
      </c>
      <c r="H15" s="7" t="s">
        <v>39</v>
      </c>
      <c r="I15" s="7" t="s">
        <v>40</v>
      </c>
    </row>
    <row r="16" customFormat="false" ht="15" hidden="false" customHeight="false" outlineLevel="0" collapsed="false">
      <c r="A16" s="7" t="s">
        <v>60</v>
      </c>
      <c r="B16" s="8" t="n">
        <v>46008</v>
      </c>
      <c r="C16" s="7" t="s">
        <v>23</v>
      </c>
      <c r="D16" s="7" t="str">
        <f aca="false">INDEX('Price Lookup'!$B$2:$B$19,MATCH(C16,'Price Lookup'!$A$2:$A$19,0))</f>
        <v>Home &amp; Kitchen</v>
      </c>
      <c r="E16" s="7" t="n">
        <f aca="false">INDEX('Price Lookup'!$C$2:$C$19,MATCH(C16,'Price Lookup'!$A$2:$A$19,0))</f>
        <v>349</v>
      </c>
      <c r="F16" s="7" t="n">
        <v>1</v>
      </c>
      <c r="G16" s="9" t="n">
        <f aca="false">E16*F16</f>
        <v>349</v>
      </c>
      <c r="H16" s="7" t="s">
        <v>45</v>
      </c>
      <c r="I16" s="7" t="s">
        <v>53</v>
      </c>
    </row>
    <row r="17" customFormat="false" ht="15" hidden="false" customHeight="false" outlineLevel="0" collapsed="false">
      <c r="A17" s="7" t="s">
        <v>61</v>
      </c>
      <c r="B17" s="8" t="n">
        <v>45819</v>
      </c>
      <c r="C17" s="7" t="s">
        <v>25</v>
      </c>
      <c r="D17" s="7" t="str">
        <f aca="false">INDEX('Price Lookup'!$B$2:$B$19,MATCH(C17,'Price Lookup'!$A$2:$A$19,0))</f>
        <v>Apparel</v>
      </c>
      <c r="E17" s="7" t="n">
        <f aca="false">INDEX('Price Lookup'!$C$2:$C$19,MATCH(C17,'Price Lookup'!$A$2:$A$19,0))</f>
        <v>499</v>
      </c>
      <c r="F17" s="7" t="n">
        <v>5</v>
      </c>
      <c r="G17" s="9" t="n">
        <f aca="false">E17*F17</f>
        <v>2495</v>
      </c>
      <c r="H17" s="7" t="s">
        <v>42</v>
      </c>
      <c r="I17" s="7" t="s">
        <v>40</v>
      </c>
    </row>
    <row r="18" customFormat="false" ht="15" hidden="false" customHeight="false" outlineLevel="0" collapsed="false">
      <c r="A18" s="7" t="s">
        <v>62</v>
      </c>
      <c r="B18" s="8" t="n">
        <v>45948</v>
      </c>
      <c r="C18" s="7" t="s">
        <v>23</v>
      </c>
      <c r="D18" s="7" t="str">
        <f aca="false">INDEX('Price Lookup'!$B$2:$B$19,MATCH(C18,'Price Lookup'!$A$2:$A$19,0))</f>
        <v>Home &amp; Kitchen</v>
      </c>
      <c r="E18" s="7" t="n">
        <f aca="false">INDEX('Price Lookup'!$C$2:$C$19,MATCH(C18,'Price Lookup'!$A$2:$A$19,0))</f>
        <v>349</v>
      </c>
      <c r="F18" s="7" t="n">
        <v>4</v>
      </c>
      <c r="G18" s="9" t="n">
        <f aca="false">E18*F18</f>
        <v>1396</v>
      </c>
      <c r="H18" s="7" t="s">
        <v>47</v>
      </c>
      <c r="I18" s="7" t="s">
        <v>43</v>
      </c>
    </row>
    <row r="19" customFormat="false" ht="15" hidden="false" customHeight="false" outlineLevel="0" collapsed="false">
      <c r="A19" s="7" t="s">
        <v>63</v>
      </c>
      <c r="B19" s="8" t="n">
        <v>45987</v>
      </c>
      <c r="C19" s="7" t="s">
        <v>28</v>
      </c>
      <c r="D19" s="7" t="str">
        <f aca="false">INDEX('Price Lookup'!$B$2:$B$19,MATCH(C19,'Price Lookup'!$A$2:$A$19,0))</f>
        <v>Apparel</v>
      </c>
      <c r="E19" s="7" t="n">
        <f aca="false">INDEX('Price Lookup'!$C$2:$C$19,MATCH(C19,'Price Lookup'!$A$2:$A$19,0))</f>
        <v>249</v>
      </c>
      <c r="F19" s="7" t="n">
        <v>3</v>
      </c>
      <c r="G19" s="9" t="n">
        <f aca="false">E19*F19</f>
        <v>747</v>
      </c>
      <c r="H19" s="7" t="s">
        <v>39</v>
      </c>
      <c r="I19" s="7" t="s">
        <v>40</v>
      </c>
    </row>
    <row r="20" customFormat="false" ht="15" hidden="false" customHeight="false" outlineLevel="0" collapsed="false">
      <c r="A20" s="7" t="s">
        <v>64</v>
      </c>
      <c r="B20" s="8" t="n">
        <v>45784</v>
      </c>
      <c r="C20" s="7" t="s">
        <v>32</v>
      </c>
      <c r="D20" s="7" t="str">
        <f aca="false">INDEX('Price Lookup'!$B$2:$B$19,MATCH(C20,'Price Lookup'!$A$2:$A$19,0))</f>
        <v>Personal Care</v>
      </c>
      <c r="E20" s="7" t="n">
        <f aca="false">INDEX('Price Lookup'!$C$2:$C$19,MATCH(C20,'Price Lookup'!$A$2:$A$19,0))</f>
        <v>99</v>
      </c>
      <c r="F20" s="7" t="n">
        <v>5</v>
      </c>
      <c r="G20" s="9" t="n">
        <f aca="false">E20*F20</f>
        <v>495</v>
      </c>
      <c r="H20" s="7" t="s">
        <v>47</v>
      </c>
      <c r="I20" s="7" t="s">
        <v>43</v>
      </c>
    </row>
    <row r="21" customFormat="false" ht="15" hidden="false" customHeight="false" outlineLevel="0" collapsed="false">
      <c r="A21" s="7" t="s">
        <v>65</v>
      </c>
      <c r="B21" s="8" t="n">
        <v>45843</v>
      </c>
      <c r="C21" s="7" t="s">
        <v>19</v>
      </c>
      <c r="D21" s="7" t="str">
        <f aca="false">INDEX('Price Lookup'!$B$2:$B$19,MATCH(C21,'Price Lookup'!$A$2:$A$19,0))</f>
        <v>Furniture</v>
      </c>
      <c r="E21" s="7" t="n">
        <f aca="false">INDEX('Price Lookup'!$C$2:$C$19,MATCH(C21,'Price Lookup'!$A$2:$A$19,0))</f>
        <v>2999</v>
      </c>
      <c r="F21" s="7" t="n">
        <v>3</v>
      </c>
      <c r="G21" s="9" t="n">
        <f aca="false">E21*F21</f>
        <v>8997</v>
      </c>
      <c r="H21" s="7" t="s">
        <v>47</v>
      </c>
      <c r="I21" s="7" t="s">
        <v>53</v>
      </c>
    </row>
    <row r="22" customFormat="false" ht="15" hidden="false" customHeight="false" outlineLevel="0" collapsed="false">
      <c r="A22" s="7" t="s">
        <v>66</v>
      </c>
      <c r="B22" s="8" t="n">
        <v>45682</v>
      </c>
      <c r="C22" s="7" t="s">
        <v>13</v>
      </c>
      <c r="D22" s="7" t="str">
        <f aca="false">INDEX('Price Lookup'!$B$2:$B$19,MATCH(C22,'Price Lookup'!$A$2:$A$19,0))</f>
        <v>Stationery</v>
      </c>
      <c r="E22" s="7" t="n">
        <f aca="false">INDEX('Price Lookup'!$C$2:$C$19,MATCH(C22,'Price Lookup'!$A$2:$A$19,0))</f>
        <v>60</v>
      </c>
      <c r="F22" s="7" t="n">
        <v>3</v>
      </c>
      <c r="G22" s="9" t="n">
        <f aca="false">E22*F22</f>
        <v>180</v>
      </c>
      <c r="H22" s="7" t="s">
        <v>45</v>
      </c>
      <c r="I22" s="7" t="s">
        <v>43</v>
      </c>
    </row>
    <row r="23" customFormat="false" ht="15" hidden="false" customHeight="false" outlineLevel="0" collapsed="false">
      <c r="A23" s="7" t="s">
        <v>67</v>
      </c>
      <c r="B23" s="8" t="n">
        <v>45963</v>
      </c>
      <c r="C23" s="7" t="s">
        <v>12</v>
      </c>
      <c r="D23" s="7" t="str">
        <f aca="false">INDEX('Price Lookup'!$B$2:$B$19,MATCH(C23,'Price Lookup'!$A$2:$A$19,0))</f>
        <v>Electronics</v>
      </c>
      <c r="E23" s="7" t="n">
        <f aca="false">INDEX('Price Lookup'!$C$2:$C$19,MATCH(C23,'Price Lookup'!$A$2:$A$19,0))</f>
        <v>149</v>
      </c>
      <c r="F23" s="7" t="n">
        <v>7</v>
      </c>
      <c r="G23" s="9" t="n">
        <f aca="false">E23*F23</f>
        <v>1043</v>
      </c>
      <c r="H23" s="7" t="s">
        <v>47</v>
      </c>
      <c r="I23" s="7" t="s">
        <v>43</v>
      </c>
    </row>
    <row r="24" customFormat="false" ht="15" hidden="false" customHeight="false" outlineLevel="0" collapsed="false">
      <c r="A24" s="7" t="s">
        <v>68</v>
      </c>
      <c r="B24" s="8" t="n">
        <v>45928</v>
      </c>
      <c r="C24" s="7" t="s">
        <v>20</v>
      </c>
      <c r="D24" s="7" t="str">
        <f aca="false">INDEX('Price Lookup'!$B$2:$B$19,MATCH(C24,'Price Lookup'!$A$2:$A$19,0))</f>
        <v>Furniture</v>
      </c>
      <c r="E24" s="7" t="n">
        <f aca="false">INDEX('Price Lookup'!$C$2:$C$19,MATCH(C24,'Price Lookup'!$A$2:$A$19,0))</f>
        <v>799</v>
      </c>
      <c r="F24" s="7" t="n">
        <v>1</v>
      </c>
      <c r="G24" s="9" t="n">
        <f aca="false">E24*F24</f>
        <v>799</v>
      </c>
      <c r="H24" s="7" t="s">
        <v>42</v>
      </c>
      <c r="I24" s="7" t="s">
        <v>50</v>
      </c>
    </row>
    <row r="25" customFormat="false" ht="15" hidden="false" customHeight="false" outlineLevel="0" collapsed="false">
      <c r="A25" s="7" t="s">
        <v>69</v>
      </c>
      <c r="B25" s="8" t="n">
        <v>45986</v>
      </c>
      <c r="C25" s="7" t="s">
        <v>23</v>
      </c>
      <c r="D25" s="7" t="str">
        <f aca="false">INDEX('Price Lookup'!$B$2:$B$19,MATCH(C25,'Price Lookup'!$A$2:$A$19,0))</f>
        <v>Home &amp; Kitchen</v>
      </c>
      <c r="E25" s="7" t="n">
        <f aca="false">INDEX('Price Lookup'!$C$2:$C$19,MATCH(C25,'Price Lookup'!$A$2:$A$19,0))</f>
        <v>349</v>
      </c>
      <c r="F25" s="7" t="n">
        <v>2</v>
      </c>
      <c r="G25" s="9" t="n">
        <f aca="false">E25*F25</f>
        <v>698</v>
      </c>
      <c r="H25" s="7" t="s">
        <v>39</v>
      </c>
      <c r="I25" s="7" t="s">
        <v>43</v>
      </c>
    </row>
    <row r="26" customFormat="false" ht="15" hidden="false" customHeight="false" outlineLevel="0" collapsed="false">
      <c r="A26" s="7" t="s">
        <v>70</v>
      </c>
      <c r="B26" s="8" t="n">
        <v>45738</v>
      </c>
      <c r="C26" s="7" t="s">
        <v>28</v>
      </c>
      <c r="D26" s="7" t="str">
        <f aca="false">INDEX('Price Lookup'!$B$2:$B$19,MATCH(C26,'Price Lookup'!$A$2:$A$19,0))</f>
        <v>Apparel</v>
      </c>
      <c r="E26" s="7" t="n">
        <f aca="false">INDEX('Price Lookup'!$C$2:$C$19,MATCH(C26,'Price Lookup'!$A$2:$A$19,0))</f>
        <v>249</v>
      </c>
      <c r="F26" s="7" t="n">
        <v>1</v>
      </c>
      <c r="G26" s="9" t="n">
        <f aca="false">E26*F26</f>
        <v>249</v>
      </c>
      <c r="H26" s="7" t="s">
        <v>39</v>
      </c>
      <c r="I26" s="7" t="s">
        <v>40</v>
      </c>
    </row>
    <row r="27" customFormat="false" ht="15" hidden="false" customHeight="false" outlineLevel="0" collapsed="false">
      <c r="A27" s="7" t="s">
        <v>71</v>
      </c>
      <c r="B27" s="8" t="n">
        <v>45917</v>
      </c>
      <c r="C27" s="7" t="s">
        <v>13</v>
      </c>
      <c r="D27" s="7" t="str">
        <f aca="false">INDEX('Price Lookup'!$B$2:$B$19,MATCH(C27,'Price Lookup'!$A$2:$A$19,0))</f>
        <v>Stationery</v>
      </c>
      <c r="E27" s="7" t="n">
        <f aca="false">INDEX('Price Lookup'!$C$2:$C$19,MATCH(C27,'Price Lookup'!$A$2:$A$19,0))</f>
        <v>60</v>
      </c>
      <c r="F27" s="7" t="n">
        <v>5</v>
      </c>
      <c r="G27" s="9" t="n">
        <f aca="false">E27*F27</f>
        <v>300</v>
      </c>
      <c r="H27" s="7" t="s">
        <v>45</v>
      </c>
      <c r="I27" s="7" t="s">
        <v>40</v>
      </c>
    </row>
    <row r="28" customFormat="false" ht="15" hidden="false" customHeight="false" outlineLevel="0" collapsed="false">
      <c r="A28" s="7" t="s">
        <v>72</v>
      </c>
      <c r="B28" s="8" t="n">
        <v>45849</v>
      </c>
      <c r="C28" s="7" t="s">
        <v>16</v>
      </c>
      <c r="D28" s="7" t="str">
        <f aca="false">INDEX('Price Lookup'!$B$2:$B$19,MATCH(C28,'Price Lookup'!$A$2:$A$19,0))</f>
        <v>Stationery</v>
      </c>
      <c r="E28" s="7" t="n">
        <f aca="false">INDEX('Price Lookup'!$C$2:$C$19,MATCH(C28,'Price Lookup'!$A$2:$A$19,0))</f>
        <v>90</v>
      </c>
      <c r="F28" s="7" t="n">
        <v>1</v>
      </c>
      <c r="G28" s="9" t="n">
        <f aca="false">E28*F28</f>
        <v>90</v>
      </c>
      <c r="H28" s="7" t="s">
        <v>39</v>
      </c>
      <c r="I28" s="7" t="s">
        <v>43</v>
      </c>
    </row>
    <row r="29" customFormat="false" ht="15" hidden="false" customHeight="false" outlineLevel="0" collapsed="false">
      <c r="A29" s="7" t="s">
        <v>73</v>
      </c>
      <c r="B29" s="8" t="n">
        <v>45667</v>
      </c>
      <c r="C29" s="7" t="s">
        <v>13</v>
      </c>
      <c r="D29" s="7" t="str">
        <f aca="false">INDEX('Price Lookup'!$B$2:$B$19,MATCH(C29,'Price Lookup'!$A$2:$A$19,0))</f>
        <v>Stationery</v>
      </c>
      <c r="E29" s="7" t="n">
        <f aca="false">INDEX('Price Lookup'!$C$2:$C$19,MATCH(C29,'Price Lookup'!$A$2:$A$19,0))</f>
        <v>60</v>
      </c>
      <c r="F29" s="7" t="n">
        <v>6</v>
      </c>
      <c r="G29" s="9" t="n">
        <f aca="false">E29*F29</f>
        <v>360</v>
      </c>
      <c r="H29" s="7" t="s">
        <v>39</v>
      </c>
      <c r="I29" s="7" t="s">
        <v>40</v>
      </c>
    </row>
    <row r="30" customFormat="false" ht="15" hidden="false" customHeight="false" outlineLevel="0" collapsed="false">
      <c r="A30" s="7" t="s">
        <v>74</v>
      </c>
      <c r="B30" s="8" t="n">
        <v>45687</v>
      </c>
      <c r="C30" s="7" t="s">
        <v>19</v>
      </c>
      <c r="D30" s="7" t="str">
        <f aca="false">INDEX('Price Lookup'!$B$2:$B$19,MATCH(C30,'Price Lookup'!$A$2:$A$19,0))</f>
        <v>Furniture</v>
      </c>
      <c r="E30" s="7" t="n">
        <f aca="false">INDEX('Price Lookup'!$C$2:$C$19,MATCH(C30,'Price Lookup'!$A$2:$A$19,0))</f>
        <v>2999</v>
      </c>
      <c r="F30" s="7" t="n">
        <v>2</v>
      </c>
      <c r="G30" s="9" t="n">
        <f aca="false">E30*F30</f>
        <v>5998</v>
      </c>
      <c r="H30" s="7" t="s">
        <v>42</v>
      </c>
      <c r="I30" s="7" t="s">
        <v>43</v>
      </c>
    </row>
    <row r="31" customFormat="false" ht="15" hidden="false" customHeight="false" outlineLevel="0" collapsed="false">
      <c r="A31" s="7" t="s">
        <v>75</v>
      </c>
      <c r="B31" s="8" t="n">
        <v>45693</v>
      </c>
      <c r="C31" s="7" t="s">
        <v>32</v>
      </c>
      <c r="D31" s="7" t="str">
        <f aca="false">INDEX('Price Lookup'!$B$2:$B$19,MATCH(C31,'Price Lookup'!$A$2:$A$19,0))</f>
        <v>Personal Care</v>
      </c>
      <c r="E31" s="7" t="n">
        <f aca="false">INDEX('Price Lookup'!$C$2:$C$19,MATCH(C31,'Price Lookup'!$A$2:$A$19,0))</f>
        <v>99</v>
      </c>
      <c r="F31" s="7" t="n">
        <v>3</v>
      </c>
      <c r="G31" s="9" t="n">
        <f aca="false">E31*F31</f>
        <v>297</v>
      </c>
      <c r="H31" s="7" t="s">
        <v>45</v>
      </c>
      <c r="I31" s="7" t="s">
        <v>43</v>
      </c>
    </row>
    <row r="32" customFormat="false" ht="15" hidden="false" customHeight="false" outlineLevel="0" collapsed="false">
      <c r="A32" s="7" t="s">
        <v>76</v>
      </c>
      <c r="B32" s="8" t="n">
        <v>45939</v>
      </c>
      <c r="C32" s="7" t="s">
        <v>16</v>
      </c>
      <c r="D32" s="7" t="str">
        <f aca="false">INDEX('Price Lookup'!$B$2:$B$19,MATCH(C32,'Price Lookup'!$A$2:$A$19,0))</f>
        <v>Stationery</v>
      </c>
      <c r="E32" s="7" t="n">
        <f aca="false">INDEX('Price Lookup'!$C$2:$C$19,MATCH(C32,'Price Lookup'!$A$2:$A$19,0))</f>
        <v>90</v>
      </c>
      <c r="F32" s="7" t="n">
        <v>5</v>
      </c>
      <c r="G32" s="9" t="n">
        <f aca="false">E32*F32</f>
        <v>450</v>
      </c>
      <c r="H32" s="7" t="s">
        <v>47</v>
      </c>
      <c r="I32" s="7" t="s">
        <v>40</v>
      </c>
    </row>
    <row r="33" customFormat="false" ht="15" hidden="false" customHeight="false" outlineLevel="0" collapsed="false">
      <c r="A33" s="7" t="s">
        <v>77</v>
      </c>
      <c r="B33" s="8" t="n">
        <v>45934</v>
      </c>
      <c r="C33" s="7" t="s">
        <v>17</v>
      </c>
      <c r="D33" s="7" t="str">
        <f aca="false">INDEX('Price Lookup'!$B$2:$B$19,MATCH(C33,'Price Lookup'!$A$2:$A$19,0))</f>
        <v>Furniture</v>
      </c>
      <c r="E33" s="7" t="n">
        <f aca="false">INDEX('Price Lookup'!$C$2:$C$19,MATCH(C33,'Price Lookup'!$A$2:$A$19,0))</f>
        <v>3499</v>
      </c>
      <c r="F33" s="7" t="n">
        <v>5</v>
      </c>
      <c r="G33" s="9" t="n">
        <f aca="false">E33*F33</f>
        <v>17495</v>
      </c>
      <c r="H33" s="7" t="s">
        <v>47</v>
      </c>
      <c r="I33" s="7" t="s">
        <v>50</v>
      </c>
    </row>
    <row r="34" customFormat="false" ht="15" hidden="false" customHeight="false" outlineLevel="0" collapsed="false">
      <c r="A34" s="7" t="s">
        <v>78</v>
      </c>
      <c r="B34" s="8" t="n">
        <v>45882</v>
      </c>
      <c r="C34" s="7" t="s">
        <v>31</v>
      </c>
      <c r="D34" s="7" t="str">
        <f aca="false">INDEX('Price Lookup'!$B$2:$B$19,MATCH(C34,'Price Lookup'!$A$2:$A$19,0))</f>
        <v>Personal Care</v>
      </c>
      <c r="E34" s="7" t="n">
        <f aca="false">INDEX('Price Lookup'!$C$2:$C$19,MATCH(C34,'Price Lookup'!$A$2:$A$19,0))</f>
        <v>220</v>
      </c>
      <c r="F34" s="7" t="n">
        <v>8</v>
      </c>
      <c r="G34" s="9" t="n">
        <f aca="false">E34*F34</f>
        <v>1760</v>
      </c>
      <c r="H34" s="7" t="s">
        <v>42</v>
      </c>
      <c r="I34" s="7" t="s">
        <v>40</v>
      </c>
    </row>
    <row r="35" customFormat="false" ht="15" hidden="false" customHeight="false" outlineLevel="0" collapsed="false">
      <c r="A35" s="7" t="s">
        <v>79</v>
      </c>
      <c r="B35" s="8" t="n">
        <v>45773</v>
      </c>
      <c r="C35" s="7" t="s">
        <v>12</v>
      </c>
      <c r="D35" s="7" t="str">
        <f aca="false">INDEX('Price Lookup'!$B$2:$B$19,MATCH(C35,'Price Lookup'!$A$2:$A$19,0))</f>
        <v>Electronics</v>
      </c>
      <c r="E35" s="7" t="n">
        <f aca="false">INDEX('Price Lookup'!$C$2:$C$19,MATCH(C35,'Price Lookup'!$A$2:$A$19,0))</f>
        <v>149</v>
      </c>
      <c r="F35" s="7" t="n">
        <v>6</v>
      </c>
      <c r="G35" s="9" t="n">
        <f aca="false">E35*F35</f>
        <v>894</v>
      </c>
      <c r="H35" s="7" t="s">
        <v>42</v>
      </c>
      <c r="I35" s="7" t="s">
        <v>40</v>
      </c>
    </row>
    <row r="36" customFormat="false" ht="15" hidden="false" customHeight="false" outlineLevel="0" collapsed="false">
      <c r="A36" s="7" t="s">
        <v>80</v>
      </c>
      <c r="B36" s="8" t="n">
        <v>45959</v>
      </c>
      <c r="C36" s="7" t="s">
        <v>19</v>
      </c>
      <c r="D36" s="7" t="str">
        <f aca="false">INDEX('Price Lookup'!$B$2:$B$19,MATCH(C36,'Price Lookup'!$A$2:$A$19,0))</f>
        <v>Furniture</v>
      </c>
      <c r="E36" s="7" t="n">
        <f aca="false">INDEX('Price Lookup'!$C$2:$C$19,MATCH(C36,'Price Lookup'!$A$2:$A$19,0))</f>
        <v>2999</v>
      </c>
      <c r="F36" s="7" t="n">
        <v>1</v>
      </c>
      <c r="G36" s="9" t="n">
        <f aca="false">E36*F36</f>
        <v>2999</v>
      </c>
      <c r="H36" s="7" t="s">
        <v>42</v>
      </c>
      <c r="I36" s="7" t="s">
        <v>53</v>
      </c>
    </row>
    <row r="37" customFormat="false" ht="15" hidden="false" customHeight="false" outlineLevel="0" collapsed="false">
      <c r="A37" s="7" t="s">
        <v>81</v>
      </c>
      <c r="B37" s="8" t="n">
        <v>45775</v>
      </c>
      <c r="C37" s="7" t="s">
        <v>12</v>
      </c>
      <c r="D37" s="7" t="str">
        <f aca="false">INDEX('Price Lookup'!$B$2:$B$19,MATCH(C37,'Price Lookup'!$A$2:$A$19,0))</f>
        <v>Electronics</v>
      </c>
      <c r="E37" s="7" t="n">
        <f aca="false">INDEX('Price Lookup'!$C$2:$C$19,MATCH(C37,'Price Lookup'!$A$2:$A$19,0))</f>
        <v>149</v>
      </c>
      <c r="F37" s="7" t="n">
        <v>1</v>
      </c>
      <c r="G37" s="9" t="n">
        <f aca="false">E37*F37</f>
        <v>149</v>
      </c>
      <c r="H37" s="7" t="s">
        <v>39</v>
      </c>
      <c r="I37" s="7" t="s">
        <v>53</v>
      </c>
    </row>
    <row r="38" customFormat="false" ht="15" hidden="false" customHeight="false" outlineLevel="0" collapsed="false">
      <c r="A38" s="7" t="s">
        <v>82</v>
      </c>
      <c r="B38" s="8" t="n">
        <v>45921</v>
      </c>
      <c r="C38" s="7" t="s">
        <v>19</v>
      </c>
      <c r="D38" s="7" t="str">
        <f aca="false">INDEX('Price Lookup'!$B$2:$B$19,MATCH(C38,'Price Lookup'!$A$2:$A$19,0))</f>
        <v>Furniture</v>
      </c>
      <c r="E38" s="7" t="n">
        <f aca="false">INDEX('Price Lookup'!$C$2:$C$19,MATCH(C38,'Price Lookup'!$A$2:$A$19,0))</f>
        <v>2999</v>
      </c>
      <c r="F38" s="7" t="n">
        <v>5</v>
      </c>
      <c r="G38" s="9" t="n">
        <f aca="false">E38*F38</f>
        <v>14995</v>
      </c>
      <c r="H38" s="7" t="s">
        <v>47</v>
      </c>
      <c r="I38" s="7" t="s">
        <v>40</v>
      </c>
    </row>
    <row r="39" customFormat="false" ht="15" hidden="false" customHeight="false" outlineLevel="0" collapsed="false">
      <c r="A39" s="7" t="s">
        <v>83</v>
      </c>
      <c r="B39" s="8" t="n">
        <v>45934</v>
      </c>
      <c r="C39" s="7" t="s">
        <v>15</v>
      </c>
      <c r="D39" s="7" t="str">
        <f aca="false">INDEX('Price Lookup'!$B$2:$B$19,MATCH(C39,'Price Lookup'!$A$2:$A$19,0))</f>
        <v>Stationery</v>
      </c>
      <c r="E39" s="7" t="n">
        <f aca="false">INDEX('Price Lookup'!$C$2:$C$19,MATCH(C39,'Price Lookup'!$A$2:$A$19,0))</f>
        <v>40</v>
      </c>
      <c r="F39" s="7" t="n">
        <v>8</v>
      </c>
      <c r="G39" s="9" t="n">
        <f aca="false">E39*F39</f>
        <v>320</v>
      </c>
      <c r="H39" s="7" t="s">
        <v>45</v>
      </c>
      <c r="I39" s="7" t="s">
        <v>43</v>
      </c>
    </row>
    <row r="40" customFormat="false" ht="15" hidden="false" customHeight="false" outlineLevel="0" collapsed="false">
      <c r="A40" s="7" t="s">
        <v>84</v>
      </c>
      <c r="B40" s="8" t="n">
        <v>45866</v>
      </c>
      <c r="C40" s="7" t="s">
        <v>17</v>
      </c>
      <c r="D40" s="7" t="str">
        <f aca="false">INDEX('Price Lookup'!$B$2:$B$19,MATCH(C40,'Price Lookup'!$A$2:$A$19,0))</f>
        <v>Furniture</v>
      </c>
      <c r="E40" s="7" t="n">
        <f aca="false">INDEX('Price Lookup'!$C$2:$C$19,MATCH(C40,'Price Lookup'!$A$2:$A$19,0))</f>
        <v>3499</v>
      </c>
      <c r="F40" s="7" t="n">
        <v>2</v>
      </c>
      <c r="G40" s="9" t="n">
        <f aca="false">E40*F40</f>
        <v>6998</v>
      </c>
      <c r="H40" s="7" t="s">
        <v>42</v>
      </c>
      <c r="I40" s="7" t="s">
        <v>43</v>
      </c>
    </row>
    <row r="41" customFormat="false" ht="15" hidden="false" customHeight="false" outlineLevel="0" collapsed="false">
      <c r="A41" s="7" t="s">
        <v>85</v>
      </c>
      <c r="B41" s="8" t="n">
        <v>45839</v>
      </c>
      <c r="C41" s="7" t="s">
        <v>27</v>
      </c>
      <c r="D41" s="7" t="str">
        <f aca="false">INDEX('Price Lookup'!$B$2:$B$19,MATCH(C41,'Price Lookup'!$A$2:$A$19,0))</f>
        <v>Apparel</v>
      </c>
      <c r="E41" s="7" t="n">
        <f aca="false">INDEX('Price Lookup'!$C$2:$C$19,MATCH(C41,'Price Lookup'!$A$2:$A$19,0))</f>
        <v>1299</v>
      </c>
      <c r="F41" s="7" t="n">
        <v>7</v>
      </c>
      <c r="G41" s="9" t="n">
        <f aca="false">E41*F41</f>
        <v>9093</v>
      </c>
      <c r="H41" s="7" t="s">
        <v>47</v>
      </c>
      <c r="I41" s="7" t="s">
        <v>53</v>
      </c>
    </row>
    <row r="42" customFormat="false" ht="15" hidden="false" customHeight="false" outlineLevel="0" collapsed="false">
      <c r="A42" s="7" t="s">
        <v>86</v>
      </c>
      <c r="B42" s="8" t="n">
        <v>46002</v>
      </c>
      <c r="C42" s="7" t="s">
        <v>13</v>
      </c>
      <c r="D42" s="7" t="str">
        <f aca="false">INDEX('Price Lookup'!$B$2:$B$19,MATCH(C42,'Price Lookup'!$A$2:$A$19,0))</f>
        <v>Stationery</v>
      </c>
      <c r="E42" s="7" t="n">
        <f aca="false">INDEX('Price Lookup'!$C$2:$C$19,MATCH(C42,'Price Lookup'!$A$2:$A$19,0))</f>
        <v>60</v>
      </c>
      <c r="F42" s="7" t="n">
        <v>1</v>
      </c>
      <c r="G42" s="9" t="n">
        <f aca="false">E42*F42</f>
        <v>60</v>
      </c>
      <c r="H42" s="7" t="s">
        <v>47</v>
      </c>
      <c r="I42" s="7" t="s">
        <v>50</v>
      </c>
    </row>
    <row r="43" customFormat="false" ht="15" hidden="false" customHeight="false" outlineLevel="0" collapsed="false">
      <c r="A43" s="7" t="s">
        <v>87</v>
      </c>
      <c r="B43" s="8" t="n">
        <v>45713</v>
      </c>
      <c r="C43" s="7" t="s">
        <v>19</v>
      </c>
      <c r="D43" s="7" t="str">
        <f aca="false">INDEX('Price Lookup'!$B$2:$B$19,MATCH(C43,'Price Lookup'!$A$2:$A$19,0))</f>
        <v>Furniture</v>
      </c>
      <c r="E43" s="7" t="n">
        <f aca="false">INDEX('Price Lookup'!$C$2:$C$19,MATCH(C43,'Price Lookup'!$A$2:$A$19,0))</f>
        <v>2999</v>
      </c>
      <c r="F43" s="7" t="n">
        <v>4</v>
      </c>
      <c r="G43" s="9" t="n">
        <f aca="false">E43*F43</f>
        <v>11996</v>
      </c>
      <c r="H43" s="7" t="s">
        <v>45</v>
      </c>
      <c r="I43" s="7" t="s">
        <v>43</v>
      </c>
    </row>
    <row r="44" customFormat="false" ht="15" hidden="false" customHeight="false" outlineLevel="0" collapsed="false">
      <c r="A44" s="7" t="s">
        <v>88</v>
      </c>
      <c r="B44" s="8" t="n">
        <v>45729</v>
      </c>
      <c r="C44" s="7" t="s">
        <v>27</v>
      </c>
      <c r="D44" s="7" t="str">
        <f aca="false">INDEX('Price Lookup'!$B$2:$B$19,MATCH(C44,'Price Lookup'!$A$2:$A$19,0))</f>
        <v>Apparel</v>
      </c>
      <c r="E44" s="7" t="n">
        <f aca="false">INDEX('Price Lookup'!$C$2:$C$19,MATCH(C44,'Price Lookup'!$A$2:$A$19,0))</f>
        <v>1299</v>
      </c>
      <c r="F44" s="7" t="n">
        <v>3</v>
      </c>
      <c r="G44" s="9" t="n">
        <f aca="false">E44*F44</f>
        <v>3897</v>
      </c>
      <c r="H44" s="7" t="s">
        <v>39</v>
      </c>
      <c r="I44" s="7" t="s">
        <v>43</v>
      </c>
    </row>
    <row r="45" customFormat="false" ht="15" hidden="false" customHeight="false" outlineLevel="0" collapsed="false">
      <c r="A45" s="7" t="s">
        <v>89</v>
      </c>
      <c r="B45" s="8" t="n">
        <v>45785</v>
      </c>
      <c r="C45" s="7" t="s">
        <v>12</v>
      </c>
      <c r="D45" s="7" t="str">
        <f aca="false">INDEX('Price Lookup'!$B$2:$B$19,MATCH(C45,'Price Lookup'!$A$2:$A$19,0))</f>
        <v>Electronics</v>
      </c>
      <c r="E45" s="7" t="n">
        <f aca="false">INDEX('Price Lookup'!$C$2:$C$19,MATCH(C45,'Price Lookup'!$A$2:$A$19,0))</f>
        <v>149</v>
      </c>
      <c r="F45" s="7" t="n">
        <v>8</v>
      </c>
      <c r="G45" s="9" t="n">
        <f aca="false">E45*F45</f>
        <v>1192</v>
      </c>
      <c r="H45" s="7" t="s">
        <v>42</v>
      </c>
      <c r="I45" s="7" t="s">
        <v>53</v>
      </c>
    </row>
    <row r="46" customFormat="false" ht="15" hidden="false" customHeight="false" outlineLevel="0" collapsed="false">
      <c r="A46" s="7" t="s">
        <v>90</v>
      </c>
      <c r="B46" s="8" t="n">
        <v>45991</v>
      </c>
      <c r="C46" s="7" t="s">
        <v>32</v>
      </c>
      <c r="D46" s="7" t="str">
        <f aca="false">INDEX('Price Lookup'!$B$2:$B$19,MATCH(C46,'Price Lookup'!$A$2:$A$19,0))</f>
        <v>Personal Care</v>
      </c>
      <c r="E46" s="7" t="n">
        <f aca="false">INDEX('Price Lookup'!$C$2:$C$19,MATCH(C46,'Price Lookup'!$A$2:$A$19,0))</f>
        <v>99</v>
      </c>
      <c r="F46" s="7" t="n">
        <v>1</v>
      </c>
      <c r="G46" s="9" t="n">
        <f aca="false">E46*F46</f>
        <v>99</v>
      </c>
      <c r="H46" s="7" t="s">
        <v>42</v>
      </c>
      <c r="I46" s="7" t="s">
        <v>40</v>
      </c>
    </row>
    <row r="47" customFormat="false" ht="15" hidden="false" customHeight="false" outlineLevel="0" collapsed="false">
      <c r="A47" s="7" t="s">
        <v>91</v>
      </c>
      <c r="B47" s="8" t="n">
        <v>45743</v>
      </c>
      <c r="C47" s="7" t="s">
        <v>27</v>
      </c>
      <c r="D47" s="7" t="str">
        <f aca="false">INDEX('Price Lookup'!$B$2:$B$19,MATCH(C47,'Price Lookup'!$A$2:$A$19,0))</f>
        <v>Apparel</v>
      </c>
      <c r="E47" s="7" t="n">
        <f aca="false">INDEX('Price Lookup'!$C$2:$C$19,MATCH(C47,'Price Lookup'!$A$2:$A$19,0))</f>
        <v>1299</v>
      </c>
      <c r="F47" s="7" t="n">
        <v>8</v>
      </c>
      <c r="G47" s="9" t="n">
        <f aca="false">E47*F47</f>
        <v>10392</v>
      </c>
      <c r="H47" s="7" t="s">
        <v>47</v>
      </c>
      <c r="I47" s="7" t="s">
        <v>40</v>
      </c>
    </row>
    <row r="48" customFormat="false" ht="15" hidden="false" customHeight="false" outlineLevel="0" collapsed="false">
      <c r="A48" s="7" t="s">
        <v>92</v>
      </c>
      <c r="B48" s="8" t="n">
        <v>45863</v>
      </c>
      <c r="C48" s="7" t="s">
        <v>11</v>
      </c>
      <c r="D48" s="7" t="str">
        <f aca="false">INDEX('Price Lookup'!$B$2:$B$19,MATCH(C48,'Price Lookup'!$A$2:$A$19,0))</f>
        <v>Electronics</v>
      </c>
      <c r="E48" s="7" t="n">
        <f aca="false">INDEX('Price Lookup'!$C$2:$C$19,MATCH(C48,'Price Lookup'!$A$2:$A$19,0))</f>
        <v>1499</v>
      </c>
      <c r="F48" s="7" t="n">
        <v>3</v>
      </c>
      <c r="G48" s="9" t="n">
        <f aca="false">E48*F48</f>
        <v>4497</v>
      </c>
      <c r="H48" s="7" t="s">
        <v>47</v>
      </c>
      <c r="I48" s="7" t="s">
        <v>53</v>
      </c>
    </row>
    <row r="49" customFormat="false" ht="15" hidden="false" customHeight="false" outlineLevel="0" collapsed="false">
      <c r="A49" s="7" t="s">
        <v>93</v>
      </c>
      <c r="B49" s="8" t="n">
        <v>45857</v>
      </c>
      <c r="C49" s="7" t="s">
        <v>20</v>
      </c>
      <c r="D49" s="7" t="str">
        <f aca="false">INDEX('Price Lookup'!$B$2:$B$19,MATCH(C49,'Price Lookup'!$A$2:$A$19,0))</f>
        <v>Furniture</v>
      </c>
      <c r="E49" s="7" t="n">
        <f aca="false">INDEX('Price Lookup'!$C$2:$C$19,MATCH(C49,'Price Lookup'!$A$2:$A$19,0))</f>
        <v>799</v>
      </c>
      <c r="F49" s="7" t="n">
        <v>8</v>
      </c>
      <c r="G49" s="9" t="n">
        <f aca="false">E49*F49</f>
        <v>6392</v>
      </c>
      <c r="H49" s="7" t="s">
        <v>39</v>
      </c>
      <c r="I49" s="7" t="s">
        <v>43</v>
      </c>
    </row>
    <row r="50" customFormat="false" ht="15" hidden="false" customHeight="false" outlineLevel="0" collapsed="false">
      <c r="A50" s="7" t="s">
        <v>94</v>
      </c>
      <c r="B50" s="8" t="n">
        <v>46014</v>
      </c>
      <c r="C50" s="7" t="s">
        <v>32</v>
      </c>
      <c r="D50" s="7" t="str">
        <f aca="false">INDEX('Price Lookup'!$B$2:$B$19,MATCH(C50,'Price Lookup'!$A$2:$A$19,0))</f>
        <v>Personal Care</v>
      </c>
      <c r="E50" s="7" t="n">
        <f aca="false">INDEX('Price Lookup'!$C$2:$C$19,MATCH(C50,'Price Lookup'!$A$2:$A$19,0))</f>
        <v>99</v>
      </c>
      <c r="F50" s="7" t="n">
        <v>8</v>
      </c>
      <c r="G50" s="9" t="n">
        <f aca="false">E50*F50</f>
        <v>792</v>
      </c>
      <c r="H50" s="7" t="s">
        <v>45</v>
      </c>
      <c r="I50" s="7" t="s">
        <v>40</v>
      </c>
    </row>
    <row r="51" customFormat="false" ht="15" hidden="false" customHeight="false" outlineLevel="0" collapsed="false">
      <c r="A51" s="7" t="s">
        <v>95</v>
      </c>
      <c r="B51" s="8" t="n">
        <v>45809</v>
      </c>
      <c r="C51" s="7" t="s">
        <v>17</v>
      </c>
      <c r="D51" s="7" t="str">
        <f aca="false">INDEX('Price Lookup'!$B$2:$B$19,MATCH(C51,'Price Lookup'!$A$2:$A$19,0))</f>
        <v>Furniture</v>
      </c>
      <c r="E51" s="7" t="n">
        <f aca="false">INDEX('Price Lookup'!$C$2:$C$19,MATCH(C51,'Price Lookup'!$A$2:$A$19,0))</f>
        <v>3499</v>
      </c>
      <c r="F51" s="7" t="n">
        <v>1</v>
      </c>
      <c r="G51" s="9" t="n">
        <f aca="false">E51*F51</f>
        <v>3499</v>
      </c>
      <c r="H51" s="7" t="s">
        <v>42</v>
      </c>
      <c r="I51" s="7" t="s">
        <v>50</v>
      </c>
    </row>
    <row r="52" customFormat="false" ht="15" hidden="false" customHeight="false" outlineLevel="0" collapsed="false">
      <c r="A52" s="7" t="s">
        <v>96</v>
      </c>
      <c r="B52" s="8" t="n">
        <v>45687</v>
      </c>
      <c r="C52" s="7" t="s">
        <v>11</v>
      </c>
      <c r="D52" s="7" t="str">
        <f aca="false">INDEX('Price Lookup'!$B$2:$B$19,MATCH(C52,'Price Lookup'!$A$2:$A$19,0))</f>
        <v>Electronics</v>
      </c>
      <c r="E52" s="7" t="n">
        <f aca="false">INDEX('Price Lookup'!$C$2:$C$19,MATCH(C52,'Price Lookup'!$A$2:$A$19,0))</f>
        <v>1499</v>
      </c>
      <c r="F52" s="7" t="n">
        <v>8</v>
      </c>
      <c r="G52" s="9" t="n">
        <f aca="false">E52*F52</f>
        <v>11992</v>
      </c>
      <c r="H52" s="7" t="s">
        <v>45</v>
      </c>
      <c r="I52" s="7" t="s">
        <v>53</v>
      </c>
    </row>
    <row r="53" customFormat="false" ht="15" hidden="false" customHeight="false" outlineLevel="0" collapsed="false">
      <c r="A53" s="7" t="s">
        <v>97</v>
      </c>
      <c r="B53" s="8" t="n">
        <v>45918</v>
      </c>
      <c r="C53" s="7" t="s">
        <v>12</v>
      </c>
      <c r="D53" s="7" t="str">
        <f aca="false">INDEX('Price Lookup'!$B$2:$B$19,MATCH(C53,'Price Lookup'!$A$2:$A$19,0))</f>
        <v>Electronics</v>
      </c>
      <c r="E53" s="7" t="n">
        <f aca="false">INDEX('Price Lookup'!$C$2:$C$19,MATCH(C53,'Price Lookup'!$A$2:$A$19,0))</f>
        <v>149</v>
      </c>
      <c r="F53" s="7" t="n">
        <v>3</v>
      </c>
      <c r="G53" s="9" t="n">
        <f aca="false">E53*F53</f>
        <v>447</v>
      </c>
      <c r="H53" s="7" t="s">
        <v>42</v>
      </c>
      <c r="I53" s="7" t="s">
        <v>53</v>
      </c>
    </row>
    <row r="54" customFormat="false" ht="15" hidden="false" customHeight="false" outlineLevel="0" collapsed="false">
      <c r="A54" s="7" t="s">
        <v>98</v>
      </c>
      <c r="B54" s="8" t="n">
        <v>46003</v>
      </c>
      <c r="C54" s="7" t="s">
        <v>19</v>
      </c>
      <c r="D54" s="7" t="str">
        <f aca="false">INDEX('Price Lookup'!$B$2:$B$19,MATCH(C54,'Price Lookup'!$A$2:$A$19,0))</f>
        <v>Furniture</v>
      </c>
      <c r="E54" s="7" t="n">
        <f aca="false">INDEX('Price Lookup'!$C$2:$C$19,MATCH(C54,'Price Lookup'!$A$2:$A$19,0))</f>
        <v>2999</v>
      </c>
      <c r="F54" s="7" t="n">
        <v>7</v>
      </c>
      <c r="G54" s="9" t="n">
        <f aca="false">E54*F54</f>
        <v>20993</v>
      </c>
      <c r="H54" s="7" t="s">
        <v>42</v>
      </c>
      <c r="I54" s="7" t="s">
        <v>40</v>
      </c>
    </row>
    <row r="55" customFormat="false" ht="15" hidden="false" customHeight="false" outlineLevel="0" collapsed="false">
      <c r="A55" s="7" t="s">
        <v>99</v>
      </c>
      <c r="B55" s="8" t="n">
        <v>45954</v>
      </c>
      <c r="C55" s="7" t="s">
        <v>11</v>
      </c>
      <c r="D55" s="7" t="str">
        <f aca="false">INDEX('Price Lookup'!$B$2:$B$19,MATCH(C55,'Price Lookup'!$A$2:$A$19,0))</f>
        <v>Electronics</v>
      </c>
      <c r="E55" s="7" t="n">
        <f aca="false">INDEX('Price Lookup'!$C$2:$C$19,MATCH(C55,'Price Lookup'!$A$2:$A$19,0))</f>
        <v>1499</v>
      </c>
      <c r="F55" s="7" t="n">
        <v>2</v>
      </c>
      <c r="G55" s="9" t="n">
        <f aca="false">E55*F55</f>
        <v>2998</v>
      </c>
      <c r="H55" s="7" t="s">
        <v>47</v>
      </c>
      <c r="I55" s="7" t="s">
        <v>50</v>
      </c>
    </row>
    <row r="56" customFormat="false" ht="15" hidden="false" customHeight="false" outlineLevel="0" collapsed="false">
      <c r="A56" s="7" t="s">
        <v>100</v>
      </c>
      <c r="B56" s="8" t="n">
        <v>45791</v>
      </c>
      <c r="C56" s="7" t="s">
        <v>17</v>
      </c>
      <c r="D56" s="7" t="str">
        <f aca="false">INDEX('Price Lookup'!$B$2:$B$19,MATCH(C56,'Price Lookup'!$A$2:$A$19,0))</f>
        <v>Furniture</v>
      </c>
      <c r="E56" s="7" t="n">
        <f aca="false">INDEX('Price Lookup'!$C$2:$C$19,MATCH(C56,'Price Lookup'!$A$2:$A$19,0))</f>
        <v>3499</v>
      </c>
      <c r="F56" s="7" t="n">
        <v>6</v>
      </c>
      <c r="G56" s="9" t="n">
        <f aca="false">E56*F56</f>
        <v>20994</v>
      </c>
      <c r="H56" s="7" t="s">
        <v>45</v>
      </c>
      <c r="I56" s="7" t="s">
        <v>50</v>
      </c>
    </row>
    <row r="57" customFormat="false" ht="15" hidden="false" customHeight="false" outlineLevel="0" collapsed="false">
      <c r="A57" s="7" t="s">
        <v>101</v>
      </c>
      <c r="B57" s="8" t="n">
        <v>45860</v>
      </c>
      <c r="C57" s="7" t="s">
        <v>15</v>
      </c>
      <c r="D57" s="7" t="str">
        <f aca="false">INDEX('Price Lookup'!$B$2:$B$19,MATCH(C57,'Price Lookup'!$A$2:$A$19,0))</f>
        <v>Stationery</v>
      </c>
      <c r="E57" s="7" t="n">
        <f aca="false">INDEX('Price Lookup'!$C$2:$C$19,MATCH(C57,'Price Lookup'!$A$2:$A$19,0))</f>
        <v>40</v>
      </c>
      <c r="F57" s="7" t="n">
        <v>5</v>
      </c>
      <c r="G57" s="9" t="n">
        <f aca="false">E57*F57</f>
        <v>200</v>
      </c>
      <c r="H57" s="7" t="s">
        <v>47</v>
      </c>
      <c r="I57" s="7" t="s">
        <v>50</v>
      </c>
    </row>
    <row r="58" customFormat="false" ht="15" hidden="false" customHeight="false" outlineLevel="0" collapsed="false">
      <c r="A58" s="7" t="s">
        <v>102</v>
      </c>
      <c r="B58" s="8" t="n">
        <v>45695</v>
      </c>
      <c r="C58" s="7" t="s">
        <v>9</v>
      </c>
      <c r="D58" s="7" t="str">
        <f aca="false">INDEX('Price Lookup'!$B$2:$B$19,MATCH(C58,'Price Lookup'!$A$2:$A$19,0))</f>
        <v>Electronics</v>
      </c>
      <c r="E58" s="7" t="n">
        <f aca="false">INDEX('Price Lookup'!$C$2:$C$19,MATCH(C58,'Price Lookup'!$A$2:$A$19,0))</f>
        <v>599</v>
      </c>
      <c r="F58" s="7" t="n">
        <v>8</v>
      </c>
      <c r="G58" s="9" t="n">
        <f aca="false">E58*F58</f>
        <v>4792</v>
      </c>
      <c r="H58" s="7" t="s">
        <v>42</v>
      </c>
      <c r="I58" s="7" t="s">
        <v>53</v>
      </c>
    </row>
    <row r="59" customFormat="false" ht="15" hidden="false" customHeight="false" outlineLevel="0" collapsed="false">
      <c r="A59" s="7" t="s">
        <v>103</v>
      </c>
      <c r="B59" s="8" t="n">
        <v>45933</v>
      </c>
      <c r="C59" s="7" t="s">
        <v>17</v>
      </c>
      <c r="D59" s="7" t="str">
        <f aca="false">INDEX('Price Lookup'!$B$2:$B$19,MATCH(C59,'Price Lookup'!$A$2:$A$19,0))</f>
        <v>Furniture</v>
      </c>
      <c r="E59" s="7" t="n">
        <f aca="false">INDEX('Price Lookup'!$C$2:$C$19,MATCH(C59,'Price Lookup'!$A$2:$A$19,0))</f>
        <v>3499</v>
      </c>
      <c r="F59" s="7" t="n">
        <v>5</v>
      </c>
      <c r="G59" s="9" t="n">
        <f aca="false">E59*F59</f>
        <v>17495</v>
      </c>
      <c r="H59" s="7" t="s">
        <v>45</v>
      </c>
      <c r="I59" s="7" t="s">
        <v>50</v>
      </c>
    </row>
    <row r="60" customFormat="false" ht="15" hidden="false" customHeight="false" outlineLevel="0" collapsed="false">
      <c r="A60" s="7" t="s">
        <v>104</v>
      </c>
      <c r="B60" s="8" t="n">
        <v>45693</v>
      </c>
      <c r="C60" s="7" t="s">
        <v>19</v>
      </c>
      <c r="D60" s="7" t="str">
        <f aca="false">INDEX('Price Lookup'!$B$2:$B$19,MATCH(C60,'Price Lookup'!$A$2:$A$19,0))</f>
        <v>Furniture</v>
      </c>
      <c r="E60" s="7" t="n">
        <f aca="false">INDEX('Price Lookup'!$C$2:$C$19,MATCH(C60,'Price Lookup'!$A$2:$A$19,0))</f>
        <v>2999</v>
      </c>
      <c r="F60" s="7" t="n">
        <v>6</v>
      </c>
      <c r="G60" s="9" t="n">
        <f aca="false">E60*F60</f>
        <v>17994</v>
      </c>
      <c r="H60" s="7" t="s">
        <v>39</v>
      </c>
      <c r="I60" s="7" t="s">
        <v>40</v>
      </c>
    </row>
    <row r="61" customFormat="false" ht="15" hidden="false" customHeight="false" outlineLevel="0" collapsed="false">
      <c r="A61" s="7" t="s">
        <v>105</v>
      </c>
      <c r="B61" s="8" t="n">
        <v>45882</v>
      </c>
      <c r="C61" s="7" t="s">
        <v>32</v>
      </c>
      <c r="D61" s="7" t="str">
        <f aca="false">INDEX('Price Lookup'!$B$2:$B$19,MATCH(C61,'Price Lookup'!$A$2:$A$19,0))</f>
        <v>Personal Care</v>
      </c>
      <c r="E61" s="7" t="n">
        <f aca="false">INDEX('Price Lookup'!$C$2:$C$19,MATCH(C61,'Price Lookup'!$A$2:$A$19,0))</f>
        <v>99</v>
      </c>
      <c r="F61" s="7" t="n">
        <v>5</v>
      </c>
      <c r="G61" s="9" t="n">
        <f aca="false">E61*F61</f>
        <v>495</v>
      </c>
      <c r="H61" s="7" t="s">
        <v>42</v>
      </c>
      <c r="I61" s="7" t="s">
        <v>50</v>
      </c>
    </row>
    <row r="62" customFormat="false" ht="15" hidden="false" customHeight="false" outlineLevel="0" collapsed="false">
      <c r="A62" s="7" t="s">
        <v>106</v>
      </c>
      <c r="B62" s="8" t="n">
        <v>45997</v>
      </c>
      <c r="C62" s="7" t="s">
        <v>13</v>
      </c>
      <c r="D62" s="7" t="str">
        <f aca="false">INDEX('Price Lookup'!$B$2:$B$19,MATCH(C62,'Price Lookup'!$A$2:$A$19,0))</f>
        <v>Stationery</v>
      </c>
      <c r="E62" s="7" t="n">
        <f aca="false">INDEX('Price Lookup'!$C$2:$C$19,MATCH(C62,'Price Lookup'!$A$2:$A$19,0))</f>
        <v>60</v>
      </c>
      <c r="F62" s="7" t="n">
        <v>3</v>
      </c>
      <c r="G62" s="9" t="n">
        <f aca="false">E62*F62</f>
        <v>180</v>
      </c>
      <c r="H62" s="7" t="s">
        <v>39</v>
      </c>
      <c r="I62" s="7" t="s">
        <v>53</v>
      </c>
    </row>
    <row r="63" customFormat="false" ht="15" hidden="false" customHeight="false" outlineLevel="0" collapsed="false">
      <c r="A63" s="7" t="s">
        <v>107</v>
      </c>
      <c r="B63" s="8" t="n">
        <v>45712</v>
      </c>
      <c r="C63" s="7" t="s">
        <v>32</v>
      </c>
      <c r="D63" s="7" t="str">
        <f aca="false">INDEX('Price Lookup'!$B$2:$B$19,MATCH(C63,'Price Lookup'!$A$2:$A$19,0))</f>
        <v>Personal Care</v>
      </c>
      <c r="E63" s="7" t="n">
        <f aca="false">INDEX('Price Lookup'!$C$2:$C$19,MATCH(C63,'Price Lookup'!$A$2:$A$19,0))</f>
        <v>99</v>
      </c>
      <c r="F63" s="7" t="n">
        <v>3</v>
      </c>
      <c r="G63" s="9" t="n">
        <f aca="false">E63*F63</f>
        <v>297</v>
      </c>
      <c r="H63" s="7" t="s">
        <v>39</v>
      </c>
      <c r="I63" s="7" t="s">
        <v>50</v>
      </c>
    </row>
    <row r="64" customFormat="false" ht="15" hidden="false" customHeight="false" outlineLevel="0" collapsed="false">
      <c r="A64" s="7" t="s">
        <v>108</v>
      </c>
      <c r="B64" s="8" t="n">
        <v>45967</v>
      </c>
      <c r="C64" s="7" t="s">
        <v>17</v>
      </c>
      <c r="D64" s="7" t="str">
        <f aca="false">INDEX('Price Lookup'!$B$2:$B$19,MATCH(C64,'Price Lookup'!$A$2:$A$19,0))</f>
        <v>Furniture</v>
      </c>
      <c r="E64" s="7" t="n">
        <f aca="false">INDEX('Price Lookup'!$C$2:$C$19,MATCH(C64,'Price Lookup'!$A$2:$A$19,0))</f>
        <v>3499</v>
      </c>
      <c r="F64" s="7" t="n">
        <v>6</v>
      </c>
      <c r="G64" s="9" t="n">
        <f aca="false">E64*F64</f>
        <v>20994</v>
      </c>
      <c r="H64" s="7" t="s">
        <v>45</v>
      </c>
      <c r="I64" s="7" t="s">
        <v>50</v>
      </c>
    </row>
    <row r="65" customFormat="false" ht="15" hidden="false" customHeight="false" outlineLevel="0" collapsed="false">
      <c r="A65" s="7" t="s">
        <v>109</v>
      </c>
      <c r="B65" s="8" t="n">
        <v>45916</v>
      </c>
      <c r="C65" s="7" t="s">
        <v>29</v>
      </c>
      <c r="D65" s="7" t="str">
        <f aca="false">INDEX('Price Lookup'!$B$2:$B$19,MATCH(C65,'Price Lookup'!$A$2:$A$19,0))</f>
        <v>Personal Care</v>
      </c>
      <c r="E65" s="7" t="n">
        <f aca="false">INDEX('Price Lookup'!$C$2:$C$19,MATCH(C65,'Price Lookup'!$A$2:$A$19,0))</f>
        <v>179</v>
      </c>
      <c r="F65" s="7" t="n">
        <v>5</v>
      </c>
      <c r="G65" s="9" t="n">
        <f aca="false">E65*F65</f>
        <v>895</v>
      </c>
      <c r="H65" s="7" t="s">
        <v>42</v>
      </c>
      <c r="I65" s="7" t="s">
        <v>53</v>
      </c>
    </row>
    <row r="66" customFormat="false" ht="15" hidden="false" customHeight="false" outlineLevel="0" collapsed="false">
      <c r="A66" s="7" t="s">
        <v>110</v>
      </c>
      <c r="B66" s="8" t="n">
        <v>45982</v>
      </c>
      <c r="C66" s="7" t="s">
        <v>27</v>
      </c>
      <c r="D66" s="7" t="str">
        <f aca="false">INDEX('Price Lookup'!$B$2:$B$19,MATCH(C66,'Price Lookup'!$A$2:$A$19,0))</f>
        <v>Apparel</v>
      </c>
      <c r="E66" s="7" t="n">
        <f aca="false">INDEX('Price Lookup'!$C$2:$C$19,MATCH(C66,'Price Lookup'!$A$2:$A$19,0))</f>
        <v>1299</v>
      </c>
      <c r="F66" s="7" t="n">
        <v>5</v>
      </c>
      <c r="G66" s="9" t="n">
        <f aca="false">E66*F66</f>
        <v>6495</v>
      </c>
      <c r="H66" s="7" t="s">
        <v>42</v>
      </c>
      <c r="I66" s="7" t="s">
        <v>53</v>
      </c>
    </row>
    <row r="67" customFormat="false" ht="15" hidden="false" customHeight="false" outlineLevel="0" collapsed="false">
      <c r="A67" s="7" t="s">
        <v>111</v>
      </c>
      <c r="B67" s="8" t="n">
        <v>45828</v>
      </c>
      <c r="C67" s="7" t="s">
        <v>15</v>
      </c>
      <c r="D67" s="7" t="str">
        <f aca="false">INDEX('Price Lookup'!$B$2:$B$19,MATCH(C67,'Price Lookup'!$A$2:$A$19,0))</f>
        <v>Stationery</v>
      </c>
      <c r="E67" s="7" t="n">
        <f aca="false">INDEX('Price Lookup'!$C$2:$C$19,MATCH(C67,'Price Lookup'!$A$2:$A$19,0))</f>
        <v>40</v>
      </c>
      <c r="F67" s="7" t="n">
        <v>5</v>
      </c>
      <c r="G67" s="9" t="n">
        <f aca="false">E67*F67</f>
        <v>200</v>
      </c>
      <c r="H67" s="7" t="s">
        <v>45</v>
      </c>
      <c r="I67" s="7" t="s">
        <v>43</v>
      </c>
    </row>
    <row r="68" customFormat="false" ht="15" hidden="false" customHeight="false" outlineLevel="0" collapsed="false">
      <c r="A68" s="7" t="s">
        <v>112</v>
      </c>
      <c r="B68" s="8" t="n">
        <v>45940</v>
      </c>
      <c r="C68" s="7" t="s">
        <v>27</v>
      </c>
      <c r="D68" s="7" t="str">
        <f aca="false">INDEX('Price Lookup'!$B$2:$B$19,MATCH(C68,'Price Lookup'!$A$2:$A$19,0))</f>
        <v>Apparel</v>
      </c>
      <c r="E68" s="7" t="n">
        <f aca="false">INDEX('Price Lookup'!$C$2:$C$19,MATCH(C68,'Price Lookup'!$A$2:$A$19,0))</f>
        <v>1299</v>
      </c>
      <c r="F68" s="7" t="n">
        <v>1</v>
      </c>
      <c r="G68" s="9" t="n">
        <f aca="false">E68*F68</f>
        <v>1299</v>
      </c>
      <c r="H68" s="7" t="s">
        <v>42</v>
      </c>
      <c r="I68" s="7" t="s">
        <v>53</v>
      </c>
    </row>
    <row r="69" customFormat="false" ht="15" hidden="false" customHeight="false" outlineLevel="0" collapsed="false">
      <c r="A69" s="7" t="s">
        <v>113</v>
      </c>
      <c r="B69" s="8" t="n">
        <v>46011</v>
      </c>
      <c r="C69" s="7" t="s">
        <v>15</v>
      </c>
      <c r="D69" s="7" t="str">
        <f aca="false">INDEX('Price Lookup'!$B$2:$B$19,MATCH(C69,'Price Lookup'!$A$2:$A$19,0))</f>
        <v>Stationery</v>
      </c>
      <c r="E69" s="7" t="n">
        <f aca="false">INDEX('Price Lookup'!$C$2:$C$19,MATCH(C69,'Price Lookup'!$A$2:$A$19,0))</f>
        <v>40</v>
      </c>
      <c r="F69" s="7" t="n">
        <v>1</v>
      </c>
      <c r="G69" s="9" t="n">
        <f aca="false">E69*F69</f>
        <v>40</v>
      </c>
      <c r="H69" s="7" t="s">
        <v>39</v>
      </c>
      <c r="I69" s="7" t="s">
        <v>40</v>
      </c>
    </row>
    <row r="70" customFormat="false" ht="15" hidden="false" customHeight="false" outlineLevel="0" collapsed="false">
      <c r="A70" s="7" t="s">
        <v>114</v>
      </c>
      <c r="B70" s="8" t="n">
        <v>45878</v>
      </c>
      <c r="C70" s="7" t="s">
        <v>15</v>
      </c>
      <c r="D70" s="7" t="str">
        <f aca="false">INDEX('Price Lookup'!$B$2:$B$19,MATCH(C70,'Price Lookup'!$A$2:$A$19,0))</f>
        <v>Stationery</v>
      </c>
      <c r="E70" s="7" t="n">
        <f aca="false">INDEX('Price Lookup'!$C$2:$C$19,MATCH(C70,'Price Lookup'!$A$2:$A$19,0))</f>
        <v>40</v>
      </c>
      <c r="F70" s="7" t="n">
        <v>1</v>
      </c>
      <c r="G70" s="9" t="n">
        <f aca="false">E70*F70</f>
        <v>40</v>
      </c>
      <c r="H70" s="7" t="s">
        <v>39</v>
      </c>
      <c r="I70" s="7" t="s">
        <v>50</v>
      </c>
    </row>
    <row r="71" customFormat="false" ht="15" hidden="false" customHeight="false" outlineLevel="0" collapsed="false">
      <c r="A71" s="7" t="s">
        <v>115</v>
      </c>
      <c r="B71" s="8" t="n">
        <v>45678</v>
      </c>
      <c r="C71" s="7" t="s">
        <v>24</v>
      </c>
      <c r="D71" s="7" t="str">
        <f aca="false">INDEX('Price Lookup'!$B$2:$B$19,MATCH(C71,'Price Lookup'!$A$2:$A$19,0))</f>
        <v>Home &amp; Kitchen</v>
      </c>
      <c r="E71" s="7" t="n">
        <f aca="false">INDEX('Price Lookup'!$C$2:$C$19,MATCH(C71,'Price Lookup'!$A$2:$A$19,0))</f>
        <v>899</v>
      </c>
      <c r="F71" s="7" t="n">
        <v>4</v>
      </c>
      <c r="G71" s="9" t="n">
        <f aca="false">E71*F71</f>
        <v>3596</v>
      </c>
      <c r="H71" s="7" t="s">
        <v>45</v>
      </c>
      <c r="I71" s="7" t="s">
        <v>53</v>
      </c>
    </row>
    <row r="72" customFormat="false" ht="15" hidden="false" customHeight="false" outlineLevel="0" collapsed="false">
      <c r="A72" s="7" t="s">
        <v>116</v>
      </c>
      <c r="B72" s="8" t="n">
        <v>45839</v>
      </c>
      <c r="C72" s="7" t="s">
        <v>32</v>
      </c>
      <c r="D72" s="7" t="str">
        <f aca="false">INDEX('Price Lookup'!$B$2:$B$19,MATCH(C72,'Price Lookup'!$A$2:$A$19,0))</f>
        <v>Personal Care</v>
      </c>
      <c r="E72" s="7" t="n">
        <f aca="false">INDEX('Price Lookup'!$C$2:$C$19,MATCH(C72,'Price Lookup'!$A$2:$A$19,0))</f>
        <v>99</v>
      </c>
      <c r="F72" s="7" t="n">
        <v>7</v>
      </c>
      <c r="G72" s="9" t="n">
        <f aca="false">E72*F72</f>
        <v>693</v>
      </c>
      <c r="H72" s="7" t="s">
        <v>45</v>
      </c>
      <c r="I72" s="7" t="s">
        <v>40</v>
      </c>
    </row>
    <row r="73" customFormat="false" ht="15" hidden="false" customHeight="false" outlineLevel="0" collapsed="false">
      <c r="A73" s="7" t="s">
        <v>117</v>
      </c>
      <c r="B73" s="8" t="n">
        <v>45741</v>
      </c>
      <c r="C73" s="7" t="s">
        <v>16</v>
      </c>
      <c r="D73" s="7" t="str">
        <f aca="false">INDEX('Price Lookup'!$B$2:$B$19,MATCH(C73,'Price Lookup'!$A$2:$A$19,0))</f>
        <v>Stationery</v>
      </c>
      <c r="E73" s="7" t="n">
        <f aca="false">INDEX('Price Lookup'!$C$2:$C$19,MATCH(C73,'Price Lookup'!$A$2:$A$19,0))</f>
        <v>90</v>
      </c>
      <c r="F73" s="7" t="n">
        <v>7</v>
      </c>
      <c r="G73" s="9" t="n">
        <f aca="false">E73*F73</f>
        <v>630</v>
      </c>
      <c r="H73" s="7" t="s">
        <v>42</v>
      </c>
      <c r="I73" s="7" t="s">
        <v>40</v>
      </c>
    </row>
    <row r="74" customFormat="false" ht="15" hidden="false" customHeight="false" outlineLevel="0" collapsed="false">
      <c r="A74" s="7" t="s">
        <v>118</v>
      </c>
      <c r="B74" s="8" t="n">
        <v>45828</v>
      </c>
      <c r="C74" s="7" t="s">
        <v>27</v>
      </c>
      <c r="D74" s="7" t="str">
        <f aca="false">INDEX('Price Lookup'!$B$2:$B$19,MATCH(C74,'Price Lookup'!$A$2:$A$19,0))</f>
        <v>Apparel</v>
      </c>
      <c r="E74" s="7" t="n">
        <f aca="false">INDEX('Price Lookup'!$C$2:$C$19,MATCH(C74,'Price Lookup'!$A$2:$A$19,0))</f>
        <v>1299</v>
      </c>
      <c r="F74" s="7" t="n">
        <v>4</v>
      </c>
      <c r="G74" s="9" t="n">
        <f aca="false">E74*F74</f>
        <v>5196</v>
      </c>
      <c r="H74" s="7" t="s">
        <v>39</v>
      </c>
      <c r="I74" s="7" t="s">
        <v>40</v>
      </c>
    </row>
    <row r="75" customFormat="false" ht="15" hidden="false" customHeight="false" outlineLevel="0" collapsed="false">
      <c r="A75" s="7" t="s">
        <v>119</v>
      </c>
      <c r="B75" s="8" t="n">
        <v>46017</v>
      </c>
      <c r="C75" s="7" t="s">
        <v>13</v>
      </c>
      <c r="D75" s="7" t="str">
        <f aca="false">INDEX('Price Lookup'!$B$2:$B$19,MATCH(C75,'Price Lookup'!$A$2:$A$19,0))</f>
        <v>Stationery</v>
      </c>
      <c r="E75" s="7" t="n">
        <f aca="false">INDEX('Price Lookup'!$C$2:$C$19,MATCH(C75,'Price Lookup'!$A$2:$A$19,0))</f>
        <v>60</v>
      </c>
      <c r="F75" s="7" t="n">
        <v>7</v>
      </c>
      <c r="G75" s="9" t="n">
        <f aca="false">E75*F75</f>
        <v>420</v>
      </c>
      <c r="H75" s="7" t="s">
        <v>42</v>
      </c>
      <c r="I75" s="7" t="s">
        <v>43</v>
      </c>
    </row>
    <row r="76" customFormat="false" ht="15" hidden="false" customHeight="false" outlineLevel="0" collapsed="false">
      <c r="A76" s="7" t="s">
        <v>120</v>
      </c>
      <c r="B76" s="8" t="n">
        <v>45771</v>
      </c>
      <c r="C76" s="7" t="s">
        <v>17</v>
      </c>
      <c r="D76" s="7" t="str">
        <f aca="false">INDEX('Price Lookup'!$B$2:$B$19,MATCH(C76,'Price Lookup'!$A$2:$A$19,0))</f>
        <v>Furniture</v>
      </c>
      <c r="E76" s="7" t="n">
        <f aca="false">INDEX('Price Lookup'!$C$2:$C$19,MATCH(C76,'Price Lookup'!$A$2:$A$19,0))</f>
        <v>3499</v>
      </c>
      <c r="F76" s="7" t="n">
        <v>8</v>
      </c>
      <c r="G76" s="9" t="n">
        <f aca="false">E76*F76</f>
        <v>27992</v>
      </c>
      <c r="H76" s="7" t="s">
        <v>39</v>
      </c>
      <c r="I76" s="7" t="s">
        <v>50</v>
      </c>
    </row>
    <row r="77" customFormat="false" ht="15" hidden="false" customHeight="false" outlineLevel="0" collapsed="false">
      <c r="A77" s="7" t="s">
        <v>121</v>
      </c>
      <c r="B77" s="8" t="n">
        <v>45774</v>
      </c>
      <c r="C77" s="7" t="s">
        <v>19</v>
      </c>
      <c r="D77" s="7" t="str">
        <f aca="false">INDEX('Price Lookup'!$B$2:$B$19,MATCH(C77,'Price Lookup'!$A$2:$A$19,0))</f>
        <v>Furniture</v>
      </c>
      <c r="E77" s="7" t="n">
        <f aca="false">INDEX('Price Lookup'!$C$2:$C$19,MATCH(C77,'Price Lookup'!$A$2:$A$19,0))</f>
        <v>2999</v>
      </c>
      <c r="F77" s="7" t="n">
        <v>1</v>
      </c>
      <c r="G77" s="9" t="n">
        <f aca="false">E77*F77</f>
        <v>2999</v>
      </c>
      <c r="H77" s="7" t="s">
        <v>45</v>
      </c>
      <c r="I77" s="7" t="s">
        <v>43</v>
      </c>
    </row>
    <row r="78" customFormat="false" ht="15" hidden="false" customHeight="false" outlineLevel="0" collapsed="false">
      <c r="A78" s="7" t="s">
        <v>122</v>
      </c>
      <c r="B78" s="8" t="n">
        <v>45826</v>
      </c>
      <c r="C78" s="7" t="s">
        <v>20</v>
      </c>
      <c r="D78" s="7" t="str">
        <f aca="false">INDEX('Price Lookup'!$B$2:$B$19,MATCH(C78,'Price Lookup'!$A$2:$A$19,0))</f>
        <v>Furniture</v>
      </c>
      <c r="E78" s="7" t="n">
        <f aca="false">INDEX('Price Lookup'!$C$2:$C$19,MATCH(C78,'Price Lookup'!$A$2:$A$19,0))</f>
        <v>799</v>
      </c>
      <c r="F78" s="7" t="n">
        <v>2</v>
      </c>
      <c r="G78" s="9" t="n">
        <f aca="false">E78*F78</f>
        <v>1598</v>
      </c>
      <c r="H78" s="7" t="s">
        <v>39</v>
      </c>
      <c r="I78" s="7" t="s">
        <v>50</v>
      </c>
    </row>
    <row r="79" customFormat="false" ht="15" hidden="false" customHeight="false" outlineLevel="0" collapsed="false">
      <c r="A79" s="7" t="s">
        <v>123</v>
      </c>
      <c r="B79" s="8" t="n">
        <v>45986</v>
      </c>
      <c r="C79" s="7" t="s">
        <v>31</v>
      </c>
      <c r="D79" s="7" t="str">
        <f aca="false">INDEX('Price Lookup'!$B$2:$B$19,MATCH(C79,'Price Lookup'!$A$2:$A$19,0))</f>
        <v>Personal Care</v>
      </c>
      <c r="E79" s="7" t="n">
        <f aca="false">INDEX('Price Lookup'!$C$2:$C$19,MATCH(C79,'Price Lookup'!$A$2:$A$19,0))</f>
        <v>220</v>
      </c>
      <c r="F79" s="7" t="n">
        <v>7</v>
      </c>
      <c r="G79" s="9" t="n">
        <f aca="false">E79*F79</f>
        <v>1540</v>
      </c>
      <c r="H79" s="7" t="s">
        <v>39</v>
      </c>
      <c r="I79" s="7" t="s">
        <v>53</v>
      </c>
    </row>
    <row r="80" customFormat="false" ht="15" hidden="false" customHeight="false" outlineLevel="0" collapsed="false">
      <c r="A80" s="7" t="s">
        <v>124</v>
      </c>
      <c r="B80" s="8" t="n">
        <v>45717</v>
      </c>
      <c r="C80" s="7" t="s">
        <v>20</v>
      </c>
      <c r="D80" s="7" t="str">
        <f aca="false">INDEX('Price Lookup'!$B$2:$B$19,MATCH(C80,'Price Lookup'!$A$2:$A$19,0))</f>
        <v>Furniture</v>
      </c>
      <c r="E80" s="7" t="n">
        <f aca="false">INDEX('Price Lookup'!$C$2:$C$19,MATCH(C80,'Price Lookup'!$A$2:$A$19,0))</f>
        <v>799</v>
      </c>
      <c r="F80" s="7" t="n">
        <v>3</v>
      </c>
      <c r="G80" s="9" t="n">
        <f aca="false">E80*F80</f>
        <v>2397</v>
      </c>
      <c r="H80" s="7" t="s">
        <v>39</v>
      </c>
      <c r="I80" s="7" t="s">
        <v>53</v>
      </c>
    </row>
    <row r="81" customFormat="false" ht="15" hidden="false" customHeight="false" outlineLevel="0" collapsed="false">
      <c r="A81" s="7" t="s">
        <v>125</v>
      </c>
      <c r="B81" s="8" t="n">
        <v>45713</v>
      </c>
      <c r="C81" s="7" t="s">
        <v>27</v>
      </c>
      <c r="D81" s="7" t="str">
        <f aca="false">INDEX('Price Lookup'!$B$2:$B$19,MATCH(C81,'Price Lookup'!$A$2:$A$19,0))</f>
        <v>Apparel</v>
      </c>
      <c r="E81" s="7" t="n">
        <f aca="false">INDEX('Price Lookup'!$C$2:$C$19,MATCH(C81,'Price Lookup'!$A$2:$A$19,0))</f>
        <v>1299</v>
      </c>
      <c r="F81" s="7" t="n">
        <v>6</v>
      </c>
      <c r="G81" s="9" t="n">
        <f aca="false">E81*F81</f>
        <v>7794</v>
      </c>
      <c r="H81" s="7" t="s">
        <v>39</v>
      </c>
      <c r="I81" s="7" t="s">
        <v>43</v>
      </c>
    </row>
    <row r="82" customFormat="false" ht="15" hidden="false" customHeight="false" outlineLevel="0" collapsed="false">
      <c r="A82" s="7" t="s">
        <v>126</v>
      </c>
      <c r="B82" s="8" t="n">
        <v>45968</v>
      </c>
      <c r="C82" s="7" t="s">
        <v>31</v>
      </c>
      <c r="D82" s="7" t="str">
        <f aca="false">INDEX('Price Lookup'!$B$2:$B$19,MATCH(C82,'Price Lookup'!$A$2:$A$19,0))</f>
        <v>Personal Care</v>
      </c>
      <c r="E82" s="7" t="n">
        <f aca="false">INDEX('Price Lookup'!$C$2:$C$19,MATCH(C82,'Price Lookup'!$A$2:$A$19,0))</f>
        <v>220</v>
      </c>
      <c r="F82" s="7" t="n">
        <v>2</v>
      </c>
      <c r="G82" s="9" t="n">
        <f aca="false">E82*F82</f>
        <v>440</v>
      </c>
      <c r="H82" s="7" t="s">
        <v>47</v>
      </c>
      <c r="I82" s="7" t="s">
        <v>40</v>
      </c>
    </row>
    <row r="83" customFormat="false" ht="15" hidden="false" customHeight="false" outlineLevel="0" collapsed="false">
      <c r="A83" s="7" t="s">
        <v>127</v>
      </c>
      <c r="B83" s="8" t="n">
        <v>45788</v>
      </c>
      <c r="C83" s="7" t="s">
        <v>11</v>
      </c>
      <c r="D83" s="7" t="str">
        <f aca="false">INDEX('Price Lookup'!$B$2:$B$19,MATCH(C83,'Price Lookup'!$A$2:$A$19,0))</f>
        <v>Electronics</v>
      </c>
      <c r="E83" s="7" t="n">
        <f aca="false">INDEX('Price Lookup'!$C$2:$C$19,MATCH(C83,'Price Lookup'!$A$2:$A$19,0))</f>
        <v>1499</v>
      </c>
      <c r="F83" s="7" t="n">
        <v>7</v>
      </c>
      <c r="G83" s="9" t="n">
        <f aca="false">E83*F83</f>
        <v>10493</v>
      </c>
      <c r="H83" s="7" t="s">
        <v>42</v>
      </c>
      <c r="I83" s="7" t="s">
        <v>40</v>
      </c>
    </row>
    <row r="84" customFormat="false" ht="15" hidden="false" customHeight="false" outlineLevel="0" collapsed="false">
      <c r="A84" s="7" t="s">
        <v>128</v>
      </c>
      <c r="B84" s="8" t="n">
        <v>45844</v>
      </c>
      <c r="C84" s="7" t="s">
        <v>27</v>
      </c>
      <c r="D84" s="7" t="str">
        <f aca="false">INDEX('Price Lookup'!$B$2:$B$19,MATCH(C84,'Price Lookup'!$A$2:$A$19,0))</f>
        <v>Apparel</v>
      </c>
      <c r="E84" s="7" t="n">
        <f aca="false">INDEX('Price Lookup'!$C$2:$C$19,MATCH(C84,'Price Lookup'!$A$2:$A$19,0))</f>
        <v>1299</v>
      </c>
      <c r="F84" s="7" t="n">
        <v>2</v>
      </c>
      <c r="G84" s="9" t="n">
        <f aca="false">E84*F84</f>
        <v>2598</v>
      </c>
      <c r="H84" s="7" t="s">
        <v>39</v>
      </c>
      <c r="I84" s="7" t="s">
        <v>50</v>
      </c>
    </row>
    <row r="85" customFormat="false" ht="15" hidden="false" customHeight="false" outlineLevel="0" collapsed="false">
      <c r="A85" s="7" t="s">
        <v>129</v>
      </c>
      <c r="B85" s="8" t="n">
        <v>45997</v>
      </c>
      <c r="C85" s="7" t="s">
        <v>13</v>
      </c>
      <c r="D85" s="7" t="str">
        <f aca="false">INDEX('Price Lookup'!$B$2:$B$19,MATCH(C85,'Price Lookup'!$A$2:$A$19,0))</f>
        <v>Stationery</v>
      </c>
      <c r="E85" s="7" t="n">
        <f aca="false">INDEX('Price Lookup'!$C$2:$C$19,MATCH(C85,'Price Lookup'!$A$2:$A$19,0))</f>
        <v>60</v>
      </c>
      <c r="F85" s="7" t="n">
        <v>5</v>
      </c>
      <c r="G85" s="9" t="n">
        <f aca="false">E85*F85</f>
        <v>300</v>
      </c>
      <c r="H85" s="7" t="s">
        <v>39</v>
      </c>
      <c r="I85" s="7" t="s">
        <v>43</v>
      </c>
    </row>
    <row r="86" customFormat="false" ht="15" hidden="false" customHeight="false" outlineLevel="0" collapsed="false">
      <c r="A86" s="7" t="s">
        <v>130</v>
      </c>
      <c r="B86" s="8" t="n">
        <v>45825</v>
      </c>
      <c r="C86" s="7" t="s">
        <v>25</v>
      </c>
      <c r="D86" s="7" t="str">
        <f aca="false">INDEX('Price Lookup'!$B$2:$B$19,MATCH(C86,'Price Lookup'!$A$2:$A$19,0))</f>
        <v>Apparel</v>
      </c>
      <c r="E86" s="7" t="n">
        <f aca="false">INDEX('Price Lookup'!$C$2:$C$19,MATCH(C86,'Price Lookup'!$A$2:$A$19,0))</f>
        <v>499</v>
      </c>
      <c r="F86" s="7" t="n">
        <v>5</v>
      </c>
      <c r="G86" s="9" t="n">
        <f aca="false">E86*F86</f>
        <v>2495</v>
      </c>
      <c r="H86" s="7" t="s">
        <v>45</v>
      </c>
      <c r="I86" s="7" t="s">
        <v>40</v>
      </c>
    </row>
    <row r="87" customFormat="false" ht="15" hidden="false" customHeight="false" outlineLevel="0" collapsed="false">
      <c r="A87" s="7" t="s">
        <v>131</v>
      </c>
      <c r="B87" s="8" t="n">
        <v>45873</v>
      </c>
      <c r="C87" s="7" t="s">
        <v>25</v>
      </c>
      <c r="D87" s="7" t="str">
        <f aca="false">INDEX('Price Lookup'!$B$2:$B$19,MATCH(C87,'Price Lookup'!$A$2:$A$19,0))</f>
        <v>Apparel</v>
      </c>
      <c r="E87" s="7" t="n">
        <f aca="false">INDEX('Price Lookup'!$C$2:$C$19,MATCH(C87,'Price Lookup'!$A$2:$A$19,0))</f>
        <v>499</v>
      </c>
      <c r="F87" s="7" t="n">
        <v>3</v>
      </c>
      <c r="G87" s="9" t="n">
        <f aca="false">E87*F87</f>
        <v>1497</v>
      </c>
      <c r="H87" s="7" t="s">
        <v>39</v>
      </c>
      <c r="I87" s="7" t="s">
        <v>43</v>
      </c>
    </row>
    <row r="88" customFormat="false" ht="15" hidden="false" customHeight="false" outlineLevel="0" collapsed="false">
      <c r="A88" s="7" t="s">
        <v>132</v>
      </c>
      <c r="B88" s="8" t="n">
        <v>45938</v>
      </c>
      <c r="C88" s="7" t="s">
        <v>9</v>
      </c>
      <c r="D88" s="7" t="str">
        <f aca="false">INDEX('Price Lookup'!$B$2:$B$19,MATCH(C88,'Price Lookup'!$A$2:$A$19,0))</f>
        <v>Electronics</v>
      </c>
      <c r="E88" s="7" t="n">
        <f aca="false">INDEX('Price Lookup'!$C$2:$C$19,MATCH(C88,'Price Lookup'!$A$2:$A$19,0))</f>
        <v>599</v>
      </c>
      <c r="F88" s="7" t="n">
        <v>5</v>
      </c>
      <c r="G88" s="9" t="n">
        <f aca="false">E88*F88</f>
        <v>2995</v>
      </c>
      <c r="H88" s="7" t="s">
        <v>39</v>
      </c>
      <c r="I88" s="7" t="s">
        <v>40</v>
      </c>
    </row>
    <row r="89" customFormat="false" ht="15" hidden="false" customHeight="false" outlineLevel="0" collapsed="false">
      <c r="A89" s="7" t="s">
        <v>133</v>
      </c>
      <c r="B89" s="8" t="n">
        <v>45878</v>
      </c>
      <c r="C89" s="7" t="s">
        <v>23</v>
      </c>
      <c r="D89" s="7" t="str">
        <f aca="false">INDEX('Price Lookup'!$B$2:$B$19,MATCH(C89,'Price Lookup'!$A$2:$A$19,0))</f>
        <v>Home &amp; Kitchen</v>
      </c>
      <c r="E89" s="7" t="n">
        <f aca="false">INDEX('Price Lookup'!$C$2:$C$19,MATCH(C89,'Price Lookup'!$A$2:$A$19,0))</f>
        <v>349</v>
      </c>
      <c r="F89" s="7" t="n">
        <v>8</v>
      </c>
      <c r="G89" s="9" t="n">
        <f aca="false">E89*F89</f>
        <v>2792</v>
      </c>
      <c r="H89" s="7" t="s">
        <v>47</v>
      </c>
      <c r="I89" s="7" t="s">
        <v>43</v>
      </c>
    </row>
    <row r="90" customFormat="false" ht="15" hidden="false" customHeight="false" outlineLevel="0" collapsed="false">
      <c r="A90" s="7" t="s">
        <v>134</v>
      </c>
      <c r="B90" s="8" t="n">
        <v>46003</v>
      </c>
      <c r="C90" s="7" t="s">
        <v>17</v>
      </c>
      <c r="D90" s="7" t="str">
        <f aca="false">INDEX('Price Lookup'!$B$2:$B$19,MATCH(C90,'Price Lookup'!$A$2:$A$19,0))</f>
        <v>Furniture</v>
      </c>
      <c r="E90" s="7" t="n">
        <f aca="false">INDEX('Price Lookup'!$C$2:$C$19,MATCH(C90,'Price Lookup'!$A$2:$A$19,0))</f>
        <v>3499</v>
      </c>
      <c r="F90" s="7" t="n">
        <v>8</v>
      </c>
      <c r="G90" s="9" t="n">
        <f aca="false">E90*F90</f>
        <v>27992</v>
      </c>
      <c r="H90" s="7" t="s">
        <v>45</v>
      </c>
      <c r="I90" s="7" t="s">
        <v>53</v>
      </c>
    </row>
    <row r="91" customFormat="false" ht="15" hidden="false" customHeight="false" outlineLevel="0" collapsed="false">
      <c r="A91" s="7" t="s">
        <v>135</v>
      </c>
      <c r="B91" s="8" t="n">
        <v>45803</v>
      </c>
      <c r="C91" s="7" t="s">
        <v>31</v>
      </c>
      <c r="D91" s="7" t="str">
        <f aca="false">INDEX('Price Lookup'!$B$2:$B$19,MATCH(C91,'Price Lookup'!$A$2:$A$19,0))</f>
        <v>Personal Care</v>
      </c>
      <c r="E91" s="7" t="n">
        <f aca="false">INDEX('Price Lookup'!$C$2:$C$19,MATCH(C91,'Price Lookup'!$A$2:$A$19,0))</f>
        <v>220</v>
      </c>
      <c r="F91" s="7" t="n">
        <v>6</v>
      </c>
      <c r="G91" s="9" t="n">
        <f aca="false">E91*F91</f>
        <v>1320</v>
      </c>
      <c r="H91" s="7" t="s">
        <v>42</v>
      </c>
      <c r="I91" s="7" t="s">
        <v>40</v>
      </c>
    </row>
    <row r="92" customFormat="false" ht="15" hidden="false" customHeight="false" outlineLevel="0" collapsed="false">
      <c r="A92" s="7" t="s">
        <v>136</v>
      </c>
      <c r="B92" s="8" t="n">
        <v>46002</v>
      </c>
      <c r="C92" s="7" t="s">
        <v>21</v>
      </c>
      <c r="D92" s="7" t="str">
        <f aca="false">INDEX('Price Lookup'!$B$2:$B$19,MATCH(C92,'Price Lookup'!$A$2:$A$19,0))</f>
        <v>Home &amp; Kitchen</v>
      </c>
      <c r="E92" s="7" t="n">
        <f aca="false">INDEX('Price Lookup'!$C$2:$C$19,MATCH(C92,'Price Lookup'!$A$2:$A$19,0))</f>
        <v>199</v>
      </c>
      <c r="F92" s="7" t="n">
        <v>4</v>
      </c>
      <c r="G92" s="9" t="n">
        <f aca="false">E92*F92</f>
        <v>796</v>
      </c>
      <c r="H92" s="7" t="s">
        <v>45</v>
      </c>
      <c r="I92" s="7" t="s">
        <v>40</v>
      </c>
    </row>
    <row r="93" customFormat="false" ht="15" hidden="false" customHeight="false" outlineLevel="0" collapsed="false">
      <c r="A93" s="7" t="s">
        <v>137</v>
      </c>
      <c r="B93" s="8" t="n">
        <v>45670</v>
      </c>
      <c r="C93" s="7" t="s">
        <v>11</v>
      </c>
      <c r="D93" s="7" t="str">
        <f aca="false">INDEX('Price Lookup'!$B$2:$B$19,MATCH(C93,'Price Lookup'!$A$2:$A$19,0))</f>
        <v>Electronics</v>
      </c>
      <c r="E93" s="7" t="n">
        <f aca="false">INDEX('Price Lookup'!$C$2:$C$19,MATCH(C93,'Price Lookup'!$A$2:$A$19,0))</f>
        <v>1499</v>
      </c>
      <c r="F93" s="7" t="n">
        <v>4</v>
      </c>
      <c r="G93" s="9" t="n">
        <f aca="false">E93*F93</f>
        <v>5996</v>
      </c>
      <c r="H93" s="7" t="s">
        <v>47</v>
      </c>
      <c r="I93" s="7" t="s">
        <v>53</v>
      </c>
    </row>
    <row r="94" customFormat="false" ht="15" hidden="false" customHeight="false" outlineLevel="0" collapsed="false">
      <c r="A94" s="7" t="s">
        <v>138</v>
      </c>
      <c r="B94" s="8" t="n">
        <v>45891</v>
      </c>
      <c r="C94" s="7" t="s">
        <v>27</v>
      </c>
      <c r="D94" s="7" t="str">
        <f aca="false">INDEX('Price Lookup'!$B$2:$B$19,MATCH(C94,'Price Lookup'!$A$2:$A$19,0))</f>
        <v>Apparel</v>
      </c>
      <c r="E94" s="7" t="n">
        <f aca="false">INDEX('Price Lookup'!$C$2:$C$19,MATCH(C94,'Price Lookup'!$A$2:$A$19,0))</f>
        <v>1299</v>
      </c>
      <c r="F94" s="7" t="n">
        <v>4</v>
      </c>
      <c r="G94" s="9" t="n">
        <f aca="false">E94*F94</f>
        <v>5196</v>
      </c>
      <c r="H94" s="7" t="s">
        <v>47</v>
      </c>
      <c r="I94" s="7" t="s">
        <v>43</v>
      </c>
    </row>
    <row r="95" customFormat="false" ht="15" hidden="false" customHeight="false" outlineLevel="0" collapsed="false">
      <c r="A95" s="7" t="s">
        <v>139</v>
      </c>
      <c r="B95" s="8" t="n">
        <v>45862</v>
      </c>
      <c r="C95" s="7" t="s">
        <v>19</v>
      </c>
      <c r="D95" s="7" t="str">
        <f aca="false">INDEX('Price Lookup'!$B$2:$B$19,MATCH(C95,'Price Lookup'!$A$2:$A$19,0))</f>
        <v>Furniture</v>
      </c>
      <c r="E95" s="7" t="n">
        <f aca="false">INDEX('Price Lookup'!$C$2:$C$19,MATCH(C95,'Price Lookup'!$A$2:$A$19,0))</f>
        <v>2999</v>
      </c>
      <c r="F95" s="7" t="n">
        <v>3</v>
      </c>
      <c r="G95" s="9" t="n">
        <f aca="false">E95*F95</f>
        <v>8997</v>
      </c>
      <c r="H95" s="7" t="s">
        <v>42</v>
      </c>
      <c r="I95" s="7" t="s">
        <v>53</v>
      </c>
    </row>
    <row r="96" customFormat="false" ht="15" hidden="false" customHeight="false" outlineLevel="0" collapsed="false">
      <c r="A96" s="7" t="s">
        <v>140</v>
      </c>
      <c r="B96" s="8" t="n">
        <v>45875</v>
      </c>
      <c r="C96" s="7" t="s">
        <v>19</v>
      </c>
      <c r="D96" s="7" t="str">
        <f aca="false">INDEX('Price Lookup'!$B$2:$B$19,MATCH(C96,'Price Lookup'!$A$2:$A$19,0))</f>
        <v>Furniture</v>
      </c>
      <c r="E96" s="7" t="n">
        <f aca="false">INDEX('Price Lookup'!$C$2:$C$19,MATCH(C96,'Price Lookup'!$A$2:$A$19,0))</f>
        <v>2999</v>
      </c>
      <c r="F96" s="7" t="n">
        <v>3</v>
      </c>
      <c r="G96" s="9" t="n">
        <f aca="false">E96*F96</f>
        <v>8997</v>
      </c>
      <c r="H96" s="7" t="s">
        <v>47</v>
      </c>
      <c r="I96" s="7" t="s">
        <v>53</v>
      </c>
    </row>
    <row r="97" customFormat="false" ht="15" hidden="false" customHeight="false" outlineLevel="0" collapsed="false">
      <c r="A97" s="7" t="s">
        <v>141</v>
      </c>
      <c r="B97" s="8" t="n">
        <v>45943</v>
      </c>
      <c r="C97" s="7" t="s">
        <v>19</v>
      </c>
      <c r="D97" s="7" t="str">
        <f aca="false">INDEX('Price Lookup'!$B$2:$B$19,MATCH(C97,'Price Lookup'!$A$2:$A$19,0))</f>
        <v>Furniture</v>
      </c>
      <c r="E97" s="7" t="n">
        <f aca="false">INDEX('Price Lookup'!$C$2:$C$19,MATCH(C97,'Price Lookup'!$A$2:$A$19,0))</f>
        <v>2999</v>
      </c>
      <c r="F97" s="7" t="n">
        <v>2</v>
      </c>
      <c r="G97" s="9" t="n">
        <f aca="false">E97*F97</f>
        <v>5998</v>
      </c>
      <c r="H97" s="7" t="s">
        <v>47</v>
      </c>
      <c r="I97" s="7" t="s">
        <v>40</v>
      </c>
    </row>
    <row r="98" customFormat="false" ht="15" hidden="false" customHeight="false" outlineLevel="0" collapsed="false">
      <c r="A98" s="7" t="s">
        <v>142</v>
      </c>
      <c r="B98" s="8" t="n">
        <v>45895</v>
      </c>
      <c r="C98" s="7" t="s">
        <v>31</v>
      </c>
      <c r="D98" s="7" t="str">
        <f aca="false">INDEX('Price Lookup'!$B$2:$B$19,MATCH(C98,'Price Lookup'!$A$2:$A$19,0))</f>
        <v>Personal Care</v>
      </c>
      <c r="E98" s="7" t="n">
        <f aca="false">INDEX('Price Lookup'!$C$2:$C$19,MATCH(C98,'Price Lookup'!$A$2:$A$19,0))</f>
        <v>220</v>
      </c>
      <c r="F98" s="7" t="n">
        <v>6</v>
      </c>
      <c r="G98" s="9" t="n">
        <f aca="false">E98*F98</f>
        <v>1320</v>
      </c>
      <c r="H98" s="7" t="s">
        <v>47</v>
      </c>
      <c r="I98" s="7" t="s">
        <v>43</v>
      </c>
    </row>
    <row r="99" customFormat="false" ht="15" hidden="false" customHeight="false" outlineLevel="0" collapsed="false">
      <c r="A99" s="7" t="s">
        <v>143</v>
      </c>
      <c r="B99" s="8" t="n">
        <v>45938</v>
      </c>
      <c r="C99" s="7" t="s">
        <v>28</v>
      </c>
      <c r="D99" s="7" t="str">
        <f aca="false">INDEX('Price Lookup'!$B$2:$B$19,MATCH(C99,'Price Lookup'!$A$2:$A$19,0))</f>
        <v>Apparel</v>
      </c>
      <c r="E99" s="7" t="n">
        <f aca="false">INDEX('Price Lookup'!$C$2:$C$19,MATCH(C99,'Price Lookup'!$A$2:$A$19,0))</f>
        <v>249</v>
      </c>
      <c r="F99" s="7" t="n">
        <v>3</v>
      </c>
      <c r="G99" s="9" t="n">
        <f aca="false">E99*F99</f>
        <v>747</v>
      </c>
      <c r="H99" s="7" t="s">
        <v>47</v>
      </c>
      <c r="I99" s="7" t="s">
        <v>43</v>
      </c>
    </row>
    <row r="100" customFormat="false" ht="15" hidden="false" customHeight="false" outlineLevel="0" collapsed="false">
      <c r="A100" s="7" t="s">
        <v>144</v>
      </c>
      <c r="B100" s="8" t="n">
        <v>45790</v>
      </c>
      <c r="C100" s="7" t="s">
        <v>19</v>
      </c>
      <c r="D100" s="7" t="str">
        <f aca="false">INDEX('Price Lookup'!$B$2:$B$19,MATCH(C100,'Price Lookup'!$A$2:$A$19,0))</f>
        <v>Furniture</v>
      </c>
      <c r="E100" s="7" t="n">
        <f aca="false">INDEX('Price Lookup'!$C$2:$C$19,MATCH(C100,'Price Lookup'!$A$2:$A$19,0))</f>
        <v>2999</v>
      </c>
      <c r="F100" s="7" t="n">
        <v>5</v>
      </c>
      <c r="G100" s="9" t="n">
        <f aca="false">E100*F100</f>
        <v>14995</v>
      </c>
      <c r="H100" s="7" t="s">
        <v>47</v>
      </c>
      <c r="I100" s="7" t="s">
        <v>40</v>
      </c>
    </row>
    <row r="101" customFormat="false" ht="15" hidden="false" customHeight="false" outlineLevel="0" collapsed="false">
      <c r="A101" s="7" t="s">
        <v>145</v>
      </c>
      <c r="B101" s="8" t="n">
        <v>45798</v>
      </c>
      <c r="C101" s="7" t="s">
        <v>28</v>
      </c>
      <c r="D101" s="7" t="str">
        <f aca="false">INDEX('Price Lookup'!$B$2:$B$19,MATCH(C101,'Price Lookup'!$A$2:$A$19,0))</f>
        <v>Apparel</v>
      </c>
      <c r="E101" s="7" t="n">
        <f aca="false">INDEX('Price Lookup'!$C$2:$C$19,MATCH(C101,'Price Lookup'!$A$2:$A$19,0))</f>
        <v>249</v>
      </c>
      <c r="F101" s="7" t="n">
        <v>2</v>
      </c>
      <c r="G101" s="9" t="n">
        <f aca="false">E101*F101</f>
        <v>498</v>
      </c>
      <c r="H101" s="7" t="s">
        <v>39</v>
      </c>
      <c r="I101" s="7" t="s">
        <v>40</v>
      </c>
    </row>
    <row r="102" customFormat="false" ht="15" hidden="false" customHeight="false" outlineLevel="0" collapsed="false">
      <c r="A102" s="7" t="s">
        <v>146</v>
      </c>
      <c r="B102" s="8" t="n">
        <v>45797</v>
      </c>
      <c r="C102" s="7" t="s">
        <v>23</v>
      </c>
      <c r="D102" s="7" t="str">
        <f aca="false">INDEX('Price Lookup'!$B$2:$B$19,MATCH(C102,'Price Lookup'!$A$2:$A$19,0))</f>
        <v>Home &amp; Kitchen</v>
      </c>
      <c r="E102" s="7" t="n">
        <f aca="false">INDEX('Price Lookup'!$C$2:$C$19,MATCH(C102,'Price Lookup'!$A$2:$A$19,0))</f>
        <v>349</v>
      </c>
      <c r="F102" s="7" t="n">
        <v>6</v>
      </c>
      <c r="G102" s="9" t="n">
        <f aca="false">E102*F102</f>
        <v>2094</v>
      </c>
      <c r="H102" s="7" t="s">
        <v>42</v>
      </c>
      <c r="I102" s="7" t="s">
        <v>40</v>
      </c>
    </row>
    <row r="103" customFormat="false" ht="15" hidden="false" customHeight="false" outlineLevel="0" collapsed="false">
      <c r="A103" s="7" t="s">
        <v>147</v>
      </c>
      <c r="B103" s="8" t="n">
        <v>45735</v>
      </c>
      <c r="C103" s="7" t="s">
        <v>19</v>
      </c>
      <c r="D103" s="7" t="str">
        <f aca="false">INDEX('Price Lookup'!$B$2:$B$19,MATCH(C103,'Price Lookup'!$A$2:$A$19,0))</f>
        <v>Furniture</v>
      </c>
      <c r="E103" s="7" t="n">
        <f aca="false">INDEX('Price Lookup'!$C$2:$C$19,MATCH(C103,'Price Lookup'!$A$2:$A$19,0))</f>
        <v>2999</v>
      </c>
      <c r="F103" s="7" t="n">
        <v>7</v>
      </c>
      <c r="G103" s="9" t="n">
        <f aca="false">E103*F103</f>
        <v>20993</v>
      </c>
      <c r="H103" s="7" t="s">
        <v>45</v>
      </c>
      <c r="I103" s="7" t="s">
        <v>40</v>
      </c>
    </row>
    <row r="104" customFormat="false" ht="15" hidden="false" customHeight="false" outlineLevel="0" collapsed="false">
      <c r="A104" s="7" t="s">
        <v>148</v>
      </c>
      <c r="B104" s="8" t="n">
        <v>45690</v>
      </c>
      <c r="C104" s="7" t="s">
        <v>27</v>
      </c>
      <c r="D104" s="7" t="str">
        <f aca="false">INDEX('Price Lookup'!$B$2:$B$19,MATCH(C104,'Price Lookup'!$A$2:$A$19,0))</f>
        <v>Apparel</v>
      </c>
      <c r="E104" s="7" t="n">
        <f aca="false">INDEX('Price Lookup'!$C$2:$C$19,MATCH(C104,'Price Lookup'!$A$2:$A$19,0))</f>
        <v>1299</v>
      </c>
      <c r="F104" s="7" t="n">
        <v>7</v>
      </c>
      <c r="G104" s="9" t="n">
        <f aca="false">E104*F104</f>
        <v>9093</v>
      </c>
      <c r="H104" s="7" t="s">
        <v>39</v>
      </c>
      <c r="I104" s="7" t="s">
        <v>43</v>
      </c>
    </row>
    <row r="105" customFormat="false" ht="15" hidden="false" customHeight="false" outlineLevel="0" collapsed="false">
      <c r="A105" s="7" t="s">
        <v>149</v>
      </c>
      <c r="B105" s="8" t="n">
        <v>45870</v>
      </c>
      <c r="C105" s="7" t="s">
        <v>11</v>
      </c>
      <c r="D105" s="7" t="str">
        <f aca="false">INDEX('Price Lookup'!$B$2:$B$19,MATCH(C105,'Price Lookup'!$A$2:$A$19,0))</f>
        <v>Electronics</v>
      </c>
      <c r="E105" s="7" t="n">
        <f aca="false">INDEX('Price Lookup'!$C$2:$C$19,MATCH(C105,'Price Lookup'!$A$2:$A$19,0))</f>
        <v>1499</v>
      </c>
      <c r="F105" s="7" t="n">
        <v>4</v>
      </c>
      <c r="G105" s="9" t="n">
        <f aca="false">E105*F105</f>
        <v>5996</v>
      </c>
      <c r="H105" s="7" t="s">
        <v>47</v>
      </c>
      <c r="I105" s="7" t="s">
        <v>43</v>
      </c>
    </row>
    <row r="106" customFormat="false" ht="15" hidden="false" customHeight="false" outlineLevel="0" collapsed="false">
      <c r="A106" s="7" t="s">
        <v>150</v>
      </c>
      <c r="B106" s="8" t="n">
        <v>45957</v>
      </c>
      <c r="C106" s="7" t="s">
        <v>9</v>
      </c>
      <c r="D106" s="7" t="str">
        <f aca="false">INDEX('Price Lookup'!$B$2:$B$19,MATCH(C106,'Price Lookup'!$A$2:$A$19,0))</f>
        <v>Electronics</v>
      </c>
      <c r="E106" s="7" t="n">
        <f aca="false">INDEX('Price Lookup'!$C$2:$C$19,MATCH(C106,'Price Lookup'!$A$2:$A$19,0))</f>
        <v>599</v>
      </c>
      <c r="F106" s="7" t="n">
        <v>7</v>
      </c>
      <c r="G106" s="9" t="n">
        <f aca="false">E106*F106</f>
        <v>4193</v>
      </c>
      <c r="H106" s="7" t="s">
        <v>47</v>
      </c>
      <c r="I106" s="7" t="s">
        <v>53</v>
      </c>
    </row>
    <row r="107" customFormat="false" ht="15" hidden="false" customHeight="false" outlineLevel="0" collapsed="false">
      <c r="A107" s="7" t="s">
        <v>151</v>
      </c>
      <c r="B107" s="8" t="n">
        <v>45838</v>
      </c>
      <c r="C107" s="7" t="s">
        <v>21</v>
      </c>
      <c r="D107" s="7" t="str">
        <f aca="false">INDEX('Price Lookup'!$B$2:$B$19,MATCH(C107,'Price Lookup'!$A$2:$A$19,0))</f>
        <v>Home &amp; Kitchen</v>
      </c>
      <c r="E107" s="7" t="n">
        <f aca="false">INDEX('Price Lookup'!$C$2:$C$19,MATCH(C107,'Price Lookup'!$A$2:$A$19,0))</f>
        <v>199</v>
      </c>
      <c r="F107" s="7" t="n">
        <v>7</v>
      </c>
      <c r="G107" s="9" t="n">
        <f aca="false">E107*F107</f>
        <v>1393</v>
      </c>
      <c r="H107" s="7" t="s">
        <v>47</v>
      </c>
      <c r="I107" s="7" t="s">
        <v>40</v>
      </c>
    </row>
    <row r="108" customFormat="false" ht="15" hidden="false" customHeight="false" outlineLevel="0" collapsed="false">
      <c r="A108" s="7" t="s">
        <v>152</v>
      </c>
      <c r="B108" s="8" t="n">
        <v>45907</v>
      </c>
      <c r="C108" s="7" t="s">
        <v>19</v>
      </c>
      <c r="D108" s="7" t="str">
        <f aca="false">INDEX('Price Lookup'!$B$2:$B$19,MATCH(C108,'Price Lookup'!$A$2:$A$19,0))</f>
        <v>Furniture</v>
      </c>
      <c r="E108" s="7" t="n">
        <f aca="false">INDEX('Price Lookup'!$C$2:$C$19,MATCH(C108,'Price Lookup'!$A$2:$A$19,0))</f>
        <v>2999</v>
      </c>
      <c r="F108" s="7" t="n">
        <v>5</v>
      </c>
      <c r="G108" s="9" t="n">
        <f aca="false">E108*F108</f>
        <v>14995</v>
      </c>
      <c r="H108" s="7" t="s">
        <v>47</v>
      </c>
      <c r="I108" s="7" t="s">
        <v>43</v>
      </c>
    </row>
    <row r="109" customFormat="false" ht="15" hidden="false" customHeight="false" outlineLevel="0" collapsed="false">
      <c r="A109" s="7" t="s">
        <v>153</v>
      </c>
      <c r="B109" s="8" t="n">
        <v>45672</v>
      </c>
      <c r="C109" s="7" t="s">
        <v>25</v>
      </c>
      <c r="D109" s="7" t="str">
        <f aca="false">INDEX('Price Lookup'!$B$2:$B$19,MATCH(C109,'Price Lookup'!$A$2:$A$19,0))</f>
        <v>Apparel</v>
      </c>
      <c r="E109" s="7" t="n">
        <f aca="false">INDEX('Price Lookup'!$C$2:$C$19,MATCH(C109,'Price Lookup'!$A$2:$A$19,0))</f>
        <v>499</v>
      </c>
      <c r="F109" s="7" t="n">
        <v>6</v>
      </c>
      <c r="G109" s="9" t="n">
        <f aca="false">E109*F109</f>
        <v>2994</v>
      </c>
      <c r="H109" s="7" t="s">
        <v>47</v>
      </c>
      <c r="I109" s="7" t="s">
        <v>40</v>
      </c>
    </row>
    <row r="110" customFormat="false" ht="15" hidden="false" customHeight="false" outlineLevel="0" collapsed="false">
      <c r="A110" s="7" t="s">
        <v>154</v>
      </c>
      <c r="B110" s="8" t="n">
        <v>45897</v>
      </c>
      <c r="C110" s="7" t="s">
        <v>15</v>
      </c>
      <c r="D110" s="7" t="str">
        <f aca="false">INDEX('Price Lookup'!$B$2:$B$19,MATCH(C110,'Price Lookup'!$A$2:$A$19,0))</f>
        <v>Stationery</v>
      </c>
      <c r="E110" s="7" t="n">
        <f aca="false">INDEX('Price Lookup'!$C$2:$C$19,MATCH(C110,'Price Lookup'!$A$2:$A$19,0))</f>
        <v>40</v>
      </c>
      <c r="F110" s="7" t="n">
        <v>1</v>
      </c>
      <c r="G110" s="9" t="n">
        <f aca="false">E110*F110</f>
        <v>40</v>
      </c>
      <c r="H110" s="7" t="s">
        <v>47</v>
      </c>
      <c r="I110" s="7" t="s">
        <v>53</v>
      </c>
    </row>
    <row r="111" customFormat="false" ht="15" hidden="false" customHeight="false" outlineLevel="0" collapsed="false">
      <c r="A111" s="7" t="s">
        <v>155</v>
      </c>
      <c r="B111" s="8" t="n">
        <v>45700</v>
      </c>
      <c r="C111" s="7" t="s">
        <v>27</v>
      </c>
      <c r="D111" s="7" t="str">
        <f aca="false">INDEX('Price Lookup'!$B$2:$B$19,MATCH(C111,'Price Lookup'!$A$2:$A$19,0))</f>
        <v>Apparel</v>
      </c>
      <c r="E111" s="7" t="n">
        <f aca="false">INDEX('Price Lookup'!$C$2:$C$19,MATCH(C111,'Price Lookup'!$A$2:$A$19,0))</f>
        <v>1299</v>
      </c>
      <c r="F111" s="7" t="n">
        <v>3</v>
      </c>
      <c r="G111" s="9" t="n">
        <f aca="false">E111*F111</f>
        <v>3897</v>
      </c>
      <c r="H111" s="7" t="s">
        <v>47</v>
      </c>
      <c r="I111" s="7" t="s">
        <v>40</v>
      </c>
    </row>
    <row r="112" customFormat="false" ht="15" hidden="false" customHeight="false" outlineLevel="0" collapsed="false">
      <c r="A112" s="7" t="s">
        <v>156</v>
      </c>
      <c r="B112" s="8" t="n">
        <v>45683</v>
      </c>
      <c r="C112" s="7" t="s">
        <v>20</v>
      </c>
      <c r="D112" s="7" t="str">
        <f aca="false">INDEX('Price Lookup'!$B$2:$B$19,MATCH(C112,'Price Lookup'!$A$2:$A$19,0))</f>
        <v>Furniture</v>
      </c>
      <c r="E112" s="7" t="n">
        <f aca="false">INDEX('Price Lookup'!$C$2:$C$19,MATCH(C112,'Price Lookup'!$A$2:$A$19,0))</f>
        <v>799</v>
      </c>
      <c r="F112" s="7" t="n">
        <v>7</v>
      </c>
      <c r="G112" s="9" t="n">
        <f aca="false">E112*F112</f>
        <v>5593</v>
      </c>
      <c r="H112" s="7" t="s">
        <v>39</v>
      </c>
      <c r="I112" s="7" t="s">
        <v>40</v>
      </c>
    </row>
    <row r="113" customFormat="false" ht="15" hidden="false" customHeight="false" outlineLevel="0" collapsed="false">
      <c r="A113" s="7" t="s">
        <v>157</v>
      </c>
      <c r="B113" s="8" t="n">
        <v>45890</v>
      </c>
      <c r="C113" s="7" t="s">
        <v>23</v>
      </c>
      <c r="D113" s="7" t="str">
        <f aca="false">INDEX('Price Lookup'!$B$2:$B$19,MATCH(C113,'Price Lookup'!$A$2:$A$19,0))</f>
        <v>Home &amp; Kitchen</v>
      </c>
      <c r="E113" s="7" t="n">
        <f aca="false">INDEX('Price Lookup'!$C$2:$C$19,MATCH(C113,'Price Lookup'!$A$2:$A$19,0))</f>
        <v>349</v>
      </c>
      <c r="F113" s="7" t="n">
        <v>6</v>
      </c>
      <c r="G113" s="9" t="n">
        <f aca="false">E113*F113</f>
        <v>2094</v>
      </c>
      <c r="H113" s="7" t="s">
        <v>47</v>
      </c>
      <c r="I113" s="7" t="s">
        <v>50</v>
      </c>
    </row>
    <row r="114" customFormat="false" ht="15" hidden="false" customHeight="false" outlineLevel="0" collapsed="false">
      <c r="A114" s="7" t="s">
        <v>158</v>
      </c>
      <c r="B114" s="8" t="n">
        <v>45873</v>
      </c>
      <c r="C114" s="7" t="s">
        <v>20</v>
      </c>
      <c r="D114" s="7" t="str">
        <f aca="false">INDEX('Price Lookup'!$B$2:$B$19,MATCH(C114,'Price Lookup'!$A$2:$A$19,0))</f>
        <v>Furniture</v>
      </c>
      <c r="E114" s="7" t="n">
        <f aca="false">INDEX('Price Lookup'!$C$2:$C$19,MATCH(C114,'Price Lookup'!$A$2:$A$19,0))</f>
        <v>799</v>
      </c>
      <c r="F114" s="7" t="n">
        <v>2</v>
      </c>
      <c r="G114" s="9" t="n">
        <f aca="false">E114*F114</f>
        <v>1598</v>
      </c>
      <c r="H114" s="7" t="s">
        <v>47</v>
      </c>
      <c r="I114" s="7" t="s">
        <v>53</v>
      </c>
    </row>
    <row r="115" customFormat="false" ht="15" hidden="false" customHeight="false" outlineLevel="0" collapsed="false">
      <c r="A115" s="7" t="s">
        <v>159</v>
      </c>
      <c r="B115" s="8" t="n">
        <v>45934</v>
      </c>
      <c r="C115" s="7" t="s">
        <v>11</v>
      </c>
      <c r="D115" s="7" t="str">
        <f aca="false">INDEX('Price Lookup'!$B$2:$B$19,MATCH(C115,'Price Lookup'!$A$2:$A$19,0))</f>
        <v>Electronics</v>
      </c>
      <c r="E115" s="7" t="n">
        <f aca="false">INDEX('Price Lookup'!$C$2:$C$19,MATCH(C115,'Price Lookup'!$A$2:$A$19,0))</f>
        <v>1499</v>
      </c>
      <c r="F115" s="7" t="n">
        <v>6</v>
      </c>
      <c r="G115" s="9" t="n">
        <f aca="false">E115*F115</f>
        <v>8994</v>
      </c>
      <c r="H115" s="7" t="s">
        <v>45</v>
      </c>
      <c r="I115" s="7" t="s">
        <v>53</v>
      </c>
    </row>
    <row r="116" customFormat="false" ht="15" hidden="false" customHeight="false" outlineLevel="0" collapsed="false">
      <c r="A116" s="7" t="s">
        <v>160</v>
      </c>
      <c r="B116" s="8" t="n">
        <v>45991</v>
      </c>
      <c r="C116" s="7" t="s">
        <v>11</v>
      </c>
      <c r="D116" s="7" t="str">
        <f aca="false">INDEX('Price Lookup'!$B$2:$B$19,MATCH(C116,'Price Lookup'!$A$2:$A$19,0))</f>
        <v>Electronics</v>
      </c>
      <c r="E116" s="7" t="n">
        <f aca="false">INDEX('Price Lookup'!$C$2:$C$19,MATCH(C116,'Price Lookup'!$A$2:$A$19,0))</f>
        <v>1499</v>
      </c>
      <c r="F116" s="7" t="n">
        <v>1</v>
      </c>
      <c r="G116" s="9" t="n">
        <f aca="false">E116*F116</f>
        <v>1499</v>
      </c>
      <c r="H116" s="7" t="s">
        <v>45</v>
      </c>
      <c r="I116" s="7" t="s">
        <v>40</v>
      </c>
    </row>
    <row r="117" customFormat="false" ht="15" hidden="false" customHeight="false" outlineLevel="0" collapsed="false">
      <c r="A117" s="7" t="s">
        <v>161</v>
      </c>
      <c r="B117" s="8" t="n">
        <v>45668</v>
      </c>
      <c r="C117" s="7" t="s">
        <v>15</v>
      </c>
      <c r="D117" s="7" t="str">
        <f aca="false">INDEX('Price Lookup'!$B$2:$B$19,MATCH(C117,'Price Lookup'!$A$2:$A$19,0))</f>
        <v>Stationery</v>
      </c>
      <c r="E117" s="7" t="n">
        <f aca="false">INDEX('Price Lookup'!$C$2:$C$19,MATCH(C117,'Price Lookup'!$A$2:$A$19,0))</f>
        <v>40</v>
      </c>
      <c r="F117" s="7" t="n">
        <v>4</v>
      </c>
      <c r="G117" s="9" t="n">
        <f aca="false">E117*F117</f>
        <v>160</v>
      </c>
      <c r="H117" s="7" t="s">
        <v>45</v>
      </c>
      <c r="I117" s="7" t="s">
        <v>43</v>
      </c>
    </row>
    <row r="118" customFormat="false" ht="15" hidden="false" customHeight="false" outlineLevel="0" collapsed="false">
      <c r="A118" s="7" t="s">
        <v>162</v>
      </c>
      <c r="B118" s="8" t="n">
        <v>46000</v>
      </c>
      <c r="C118" s="7" t="s">
        <v>13</v>
      </c>
      <c r="D118" s="7" t="str">
        <f aca="false">INDEX('Price Lookup'!$B$2:$B$19,MATCH(C118,'Price Lookup'!$A$2:$A$19,0))</f>
        <v>Stationery</v>
      </c>
      <c r="E118" s="7" t="n">
        <f aca="false">INDEX('Price Lookup'!$C$2:$C$19,MATCH(C118,'Price Lookup'!$A$2:$A$19,0))</f>
        <v>60</v>
      </c>
      <c r="F118" s="7" t="n">
        <v>4</v>
      </c>
      <c r="G118" s="9" t="n">
        <f aca="false">E118*F118</f>
        <v>240</v>
      </c>
      <c r="H118" s="7" t="s">
        <v>47</v>
      </c>
      <c r="I118" s="7" t="s">
        <v>50</v>
      </c>
    </row>
    <row r="119" customFormat="false" ht="15" hidden="false" customHeight="false" outlineLevel="0" collapsed="false">
      <c r="A119" s="7" t="s">
        <v>163</v>
      </c>
      <c r="B119" s="8" t="n">
        <v>45846</v>
      </c>
      <c r="C119" s="7" t="s">
        <v>16</v>
      </c>
      <c r="D119" s="7" t="str">
        <f aca="false">INDEX('Price Lookup'!$B$2:$B$19,MATCH(C119,'Price Lookup'!$A$2:$A$19,0))</f>
        <v>Stationery</v>
      </c>
      <c r="E119" s="7" t="n">
        <f aca="false">INDEX('Price Lookup'!$C$2:$C$19,MATCH(C119,'Price Lookup'!$A$2:$A$19,0))</f>
        <v>90</v>
      </c>
      <c r="F119" s="7" t="n">
        <v>2</v>
      </c>
      <c r="G119" s="9" t="n">
        <f aca="false">E119*F119</f>
        <v>180</v>
      </c>
      <c r="H119" s="7" t="s">
        <v>45</v>
      </c>
      <c r="I119" s="7" t="s">
        <v>50</v>
      </c>
    </row>
    <row r="120" customFormat="false" ht="15" hidden="false" customHeight="false" outlineLevel="0" collapsed="false">
      <c r="A120" s="7" t="s">
        <v>164</v>
      </c>
      <c r="B120" s="8" t="n">
        <v>45713</v>
      </c>
      <c r="C120" s="7" t="s">
        <v>9</v>
      </c>
      <c r="D120" s="7" t="str">
        <f aca="false">INDEX('Price Lookup'!$B$2:$B$19,MATCH(C120,'Price Lookup'!$A$2:$A$19,0))</f>
        <v>Electronics</v>
      </c>
      <c r="E120" s="7" t="n">
        <f aca="false">INDEX('Price Lookup'!$C$2:$C$19,MATCH(C120,'Price Lookup'!$A$2:$A$19,0))</f>
        <v>599</v>
      </c>
      <c r="F120" s="7" t="n">
        <v>5</v>
      </c>
      <c r="G120" s="9" t="n">
        <f aca="false">E120*F120</f>
        <v>2995</v>
      </c>
      <c r="H120" s="7" t="s">
        <v>47</v>
      </c>
      <c r="I120" s="7" t="s">
        <v>43</v>
      </c>
    </row>
    <row r="121" customFormat="false" ht="15" hidden="false" customHeight="false" outlineLevel="0" collapsed="false">
      <c r="A121" s="7" t="s">
        <v>165</v>
      </c>
      <c r="B121" s="8" t="n">
        <v>45759</v>
      </c>
      <c r="C121" s="7" t="s">
        <v>12</v>
      </c>
      <c r="D121" s="7" t="str">
        <f aca="false">INDEX('Price Lookup'!$B$2:$B$19,MATCH(C121,'Price Lookup'!$A$2:$A$19,0))</f>
        <v>Electronics</v>
      </c>
      <c r="E121" s="7" t="n">
        <f aca="false">INDEX('Price Lookup'!$C$2:$C$19,MATCH(C121,'Price Lookup'!$A$2:$A$19,0))</f>
        <v>149</v>
      </c>
      <c r="F121" s="7" t="n">
        <v>4</v>
      </c>
      <c r="G121" s="9" t="n">
        <f aca="false">E121*F121</f>
        <v>596</v>
      </c>
      <c r="H121" s="7" t="s">
        <v>42</v>
      </c>
      <c r="I121" s="7" t="s">
        <v>50</v>
      </c>
    </row>
    <row r="122" customFormat="false" ht="15" hidden="false" customHeight="false" outlineLevel="0" collapsed="false">
      <c r="A122" s="7" t="s">
        <v>166</v>
      </c>
      <c r="B122" s="8" t="n">
        <v>46008</v>
      </c>
      <c r="C122" s="7" t="s">
        <v>13</v>
      </c>
      <c r="D122" s="7" t="str">
        <f aca="false">INDEX('Price Lookup'!$B$2:$B$19,MATCH(C122,'Price Lookup'!$A$2:$A$19,0))</f>
        <v>Stationery</v>
      </c>
      <c r="E122" s="7" t="n">
        <f aca="false">INDEX('Price Lookup'!$C$2:$C$19,MATCH(C122,'Price Lookup'!$A$2:$A$19,0))</f>
        <v>60</v>
      </c>
      <c r="F122" s="7" t="n">
        <v>1</v>
      </c>
      <c r="G122" s="9" t="n">
        <f aca="false">E122*F122</f>
        <v>60</v>
      </c>
      <c r="H122" s="7" t="s">
        <v>39</v>
      </c>
      <c r="I122" s="7" t="s">
        <v>43</v>
      </c>
    </row>
    <row r="123" customFormat="false" ht="15" hidden="false" customHeight="false" outlineLevel="0" collapsed="false">
      <c r="A123" s="7" t="s">
        <v>167</v>
      </c>
      <c r="B123" s="8" t="n">
        <v>45996</v>
      </c>
      <c r="C123" s="7" t="s">
        <v>24</v>
      </c>
      <c r="D123" s="7" t="str">
        <f aca="false">INDEX('Price Lookup'!$B$2:$B$19,MATCH(C123,'Price Lookup'!$A$2:$A$19,0))</f>
        <v>Home &amp; Kitchen</v>
      </c>
      <c r="E123" s="7" t="n">
        <f aca="false">INDEX('Price Lookup'!$C$2:$C$19,MATCH(C123,'Price Lookup'!$A$2:$A$19,0))</f>
        <v>899</v>
      </c>
      <c r="F123" s="7" t="n">
        <v>2</v>
      </c>
      <c r="G123" s="9" t="n">
        <f aca="false">E123*F123</f>
        <v>1798</v>
      </c>
      <c r="H123" s="7" t="s">
        <v>39</v>
      </c>
      <c r="I123" s="7" t="s">
        <v>53</v>
      </c>
    </row>
    <row r="124" customFormat="false" ht="15" hidden="false" customHeight="false" outlineLevel="0" collapsed="false">
      <c r="A124" s="7" t="s">
        <v>168</v>
      </c>
      <c r="B124" s="8" t="n">
        <v>45873</v>
      </c>
      <c r="C124" s="7" t="s">
        <v>29</v>
      </c>
      <c r="D124" s="7" t="str">
        <f aca="false">INDEX('Price Lookup'!$B$2:$B$19,MATCH(C124,'Price Lookup'!$A$2:$A$19,0))</f>
        <v>Personal Care</v>
      </c>
      <c r="E124" s="7" t="n">
        <f aca="false">INDEX('Price Lookup'!$C$2:$C$19,MATCH(C124,'Price Lookup'!$A$2:$A$19,0))</f>
        <v>179</v>
      </c>
      <c r="F124" s="7" t="n">
        <v>2</v>
      </c>
      <c r="G124" s="9" t="n">
        <f aca="false">E124*F124</f>
        <v>358</v>
      </c>
      <c r="H124" s="7" t="s">
        <v>47</v>
      </c>
      <c r="I124" s="7" t="s">
        <v>50</v>
      </c>
    </row>
    <row r="125" customFormat="false" ht="15" hidden="false" customHeight="false" outlineLevel="0" collapsed="false">
      <c r="A125" s="7" t="s">
        <v>169</v>
      </c>
      <c r="B125" s="8" t="n">
        <v>45983</v>
      </c>
      <c r="C125" s="7" t="s">
        <v>28</v>
      </c>
      <c r="D125" s="7" t="str">
        <f aca="false">INDEX('Price Lookup'!$B$2:$B$19,MATCH(C125,'Price Lookup'!$A$2:$A$19,0))</f>
        <v>Apparel</v>
      </c>
      <c r="E125" s="7" t="n">
        <f aca="false">INDEX('Price Lookup'!$C$2:$C$19,MATCH(C125,'Price Lookup'!$A$2:$A$19,0))</f>
        <v>249</v>
      </c>
      <c r="F125" s="7" t="n">
        <v>3</v>
      </c>
      <c r="G125" s="9" t="n">
        <f aca="false">E125*F125</f>
        <v>747</v>
      </c>
      <c r="H125" s="7" t="s">
        <v>47</v>
      </c>
      <c r="I125" s="7" t="s">
        <v>40</v>
      </c>
    </row>
    <row r="126" customFormat="false" ht="15" hidden="false" customHeight="false" outlineLevel="0" collapsed="false">
      <c r="A126" s="7" t="s">
        <v>170</v>
      </c>
      <c r="B126" s="8" t="n">
        <v>45925</v>
      </c>
      <c r="C126" s="7" t="s">
        <v>20</v>
      </c>
      <c r="D126" s="7" t="str">
        <f aca="false">INDEX('Price Lookup'!$B$2:$B$19,MATCH(C126,'Price Lookup'!$A$2:$A$19,0))</f>
        <v>Furniture</v>
      </c>
      <c r="E126" s="7" t="n">
        <f aca="false">INDEX('Price Lookup'!$C$2:$C$19,MATCH(C126,'Price Lookup'!$A$2:$A$19,0))</f>
        <v>799</v>
      </c>
      <c r="F126" s="7" t="n">
        <v>8</v>
      </c>
      <c r="G126" s="9" t="n">
        <f aca="false">E126*F126</f>
        <v>6392</v>
      </c>
      <c r="H126" s="7" t="s">
        <v>47</v>
      </c>
      <c r="I126" s="7" t="s">
        <v>43</v>
      </c>
    </row>
    <row r="127" customFormat="false" ht="15" hidden="false" customHeight="false" outlineLevel="0" collapsed="false">
      <c r="A127" s="7" t="s">
        <v>171</v>
      </c>
      <c r="B127" s="8" t="n">
        <v>45961</v>
      </c>
      <c r="C127" s="7" t="s">
        <v>20</v>
      </c>
      <c r="D127" s="7" t="str">
        <f aca="false">INDEX('Price Lookup'!$B$2:$B$19,MATCH(C127,'Price Lookup'!$A$2:$A$19,0))</f>
        <v>Furniture</v>
      </c>
      <c r="E127" s="7" t="n">
        <f aca="false">INDEX('Price Lookup'!$C$2:$C$19,MATCH(C127,'Price Lookup'!$A$2:$A$19,0))</f>
        <v>799</v>
      </c>
      <c r="F127" s="7" t="n">
        <v>6</v>
      </c>
      <c r="G127" s="9" t="n">
        <f aca="false">E127*F127</f>
        <v>4794</v>
      </c>
      <c r="H127" s="7" t="s">
        <v>45</v>
      </c>
      <c r="I127" s="7" t="s">
        <v>53</v>
      </c>
    </row>
    <row r="128" customFormat="false" ht="15" hidden="false" customHeight="false" outlineLevel="0" collapsed="false">
      <c r="A128" s="7" t="s">
        <v>172</v>
      </c>
      <c r="B128" s="8" t="n">
        <v>45800</v>
      </c>
      <c r="C128" s="7" t="s">
        <v>28</v>
      </c>
      <c r="D128" s="7" t="str">
        <f aca="false">INDEX('Price Lookup'!$B$2:$B$19,MATCH(C128,'Price Lookup'!$A$2:$A$19,0))</f>
        <v>Apparel</v>
      </c>
      <c r="E128" s="7" t="n">
        <f aca="false">INDEX('Price Lookup'!$C$2:$C$19,MATCH(C128,'Price Lookup'!$A$2:$A$19,0))</f>
        <v>249</v>
      </c>
      <c r="F128" s="7" t="n">
        <v>4</v>
      </c>
      <c r="G128" s="9" t="n">
        <f aca="false">E128*F128</f>
        <v>996</v>
      </c>
      <c r="H128" s="7" t="s">
        <v>47</v>
      </c>
      <c r="I128" s="7" t="s">
        <v>43</v>
      </c>
    </row>
    <row r="129" customFormat="false" ht="15" hidden="false" customHeight="false" outlineLevel="0" collapsed="false">
      <c r="A129" s="7" t="s">
        <v>173</v>
      </c>
      <c r="B129" s="8" t="n">
        <v>45830</v>
      </c>
      <c r="C129" s="7" t="s">
        <v>9</v>
      </c>
      <c r="D129" s="7" t="str">
        <f aca="false">INDEX('Price Lookup'!$B$2:$B$19,MATCH(C129,'Price Lookup'!$A$2:$A$19,0))</f>
        <v>Electronics</v>
      </c>
      <c r="E129" s="7" t="n">
        <f aca="false">INDEX('Price Lookup'!$C$2:$C$19,MATCH(C129,'Price Lookup'!$A$2:$A$19,0))</f>
        <v>599</v>
      </c>
      <c r="F129" s="7" t="n">
        <v>8</v>
      </c>
      <c r="G129" s="9" t="n">
        <f aca="false">E129*F129</f>
        <v>4792</v>
      </c>
      <c r="H129" s="7" t="s">
        <v>39</v>
      </c>
      <c r="I129" s="7" t="s">
        <v>40</v>
      </c>
    </row>
    <row r="130" customFormat="false" ht="15" hidden="false" customHeight="false" outlineLevel="0" collapsed="false">
      <c r="A130" s="7" t="s">
        <v>174</v>
      </c>
      <c r="B130" s="8" t="n">
        <v>45907</v>
      </c>
      <c r="C130" s="7" t="s">
        <v>17</v>
      </c>
      <c r="D130" s="7" t="str">
        <f aca="false">INDEX('Price Lookup'!$B$2:$B$19,MATCH(C130,'Price Lookup'!$A$2:$A$19,0))</f>
        <v>Furniture</v>
      </c>
      <c r="E130" s="7" t="n">
        <f aca="false">INDEX('Price Lookup'!$C$2:$C$19,MATCH(C130,'Price Lookup'!$A$2:$A$19,0))</f>
        <v>3499</v>
      </c>
      <c r="F130" s="7" t="n">
        <v>6</v>
      </c>
      <c r="G130" s="9" t="n">
        <f aca="false">E130*F130</f>
        <v>20994</v>
      </c>
      <c r="H130" s="7" t="s">
        <v>39</v>
      </c>
      <c r="I130" s="7" t="s">
        <v>50</v>
      </c>
    </row>
    <row r="131" customFormat="false" ht="15" hidden="false" customHeight="false" outlineLevel="0" collapsed="false">
      <c r="A131" s="7" t="s">
        <v>175</v>
      </c>
      <c r="B131" s="8" t="n">
        <v>45801</v>
      </c>
      <c r="C131" s="7" t="s">
        <v>20</v>
      </c>
      <c r="D131" s="7" t="str">
        <f aca="false">INDEX('Price Lookup'!$B$2:$B$19,MATCH(C131,'Price Lookup'!$A$2:$A$19,0))</f>
        <v>Furniture</v>
      </c>
      <c r="E131" s="7" t="n">
        <f aca="false">INDEX('Price Lookup'!$C$2:$C$19,MATCH(C131,'Price Lookup'!$A$2:$A$19,0))</f>
        <v>799</v>
      </c>
      <c r="F131" s="7" t="n">
        <v>1</v>
      </c>
      <c r="G131" s="9" t="n">
        <f aca="false">E131*F131</f>
        <v>799</v>
      </c>
      <c r="H131" s="7" t="s">
        <v>45</v>
      </c>
      <c r="I131" s="7" t="s">
        <v>53</v>
      </c>
    </row>
    <row r="132" customFormat="false" ht="15" hidden="false" customHeight="false" outlineLevel="0" collapsed="false">
      <c r="A132" s="7" t="s">
        <v>176</v>
      </c>
      <c r="B132" s="8" t="n">
        <v>45781</v>
      </c>
      <c r="C132" s="7" t="s">
        <v>27</v>
      </c>
      <c r="D132" s="7" t="str">
        <f aca="false">INDEX('Price Lookup'!$B$2:$B$19,MATCH(C132,'Price Lookup'!$A$2:$A$19,0))</f>
        <v>Apparel</v>
      </c>
      <c r="E132" s="7" t="n">
        <f aca="false">INDEX('Price Lookup'!$C$2:$C$19,MATCH(C132,'Price Lookup'!$A$2:$A$19,0))</f>
        <v>1299</v>
      </c>
      <c r="F132" s="7" t="n">
        <v>8</v>
      </c>
      <c r="G132" s="9" t="n">
        <f aca="false">E132*F132</f>
        <v>10392</v>
      </c>
      <c r="H132" s="7" t="s">
        <v>45</v>
      </c>
      <c r="I132" s="7" t="s">
        <v>43</v>
      </c>
    </row>
    <row r="133" customFormat="false" ht="15" hidden="false" customHeight="false" outlineLevel="0" collapsed="false">
      <c r="A133" s="7" t="s">
        <v>177</v>
      </c>
      <c r="B133" s="8" t="n">
        <v>45988</v>
      </c>
      <c r="C133" s="7" t="s">
        <v>29</v>
      </c>
      <c r="D133" s="7" t="str">
        <f aca="false">INDEX('Price Lookup'!$B$2:$B$19,MATCH(C133,'Price Lookup'!$A$2:$A$19,0))</f>
        <v>Personal Care</v>
      </c>
      <c r="E133" s="7" t="n">
        <f aca="false">INDEX('Price Lookup'!$C$2:$C$19,MATCH(C133,'Price Lookup'!$A$2:$A$19,0))</f>
        <v>179</v>
      </c>
      <c r="F133" s="7" t="n">
        <v>8</v>
      </c>
      <c r="G133" s="9" t="n">
        <f aca="false">E133*F133</f>
        <v>1432</v>
      </c>
      <c r="H133" s="7" t="s">
        <v>42</v>
      </c>
      <c r="I133" s="7" t="s">
        <v>53</v>
      </c>
    </row>
    <row r="134" customFormat="false" ht="15" hidden="false" customHeight="false" outlineLevel="0" collapsed="false">
      <c r="A134" s="7" t="s">
        <v>178</v>
      </c>
      <c r="B134" s="8" t="n">
        <v>45808</v>
      </c>
      <c r="C134" s="7" t="s">
        <v>19</v>
      </c>
      <c r="D134" s="7" t="str">
        <f aca="false">INDEX('Price Lookup'!$B$2:$B$19,MATCH(C134,'Price Lookup'!$A$2:$A$19,0))</f>
        <v>Furniture</v>
      </c>
      <c r="E134" s="7" t="n">
        <f aca="false">INDEX('Price Lookup'!$C$2:$C$19,MATCH(C134,'Price Lookup'!$A$2:$A$19,0))</f>
        <v>2999</v>
      </c>
      <c r="F134" s="7" t="n">
        <v>7</v>
      </c>
      <c r="G134" s="9" t="n">
        <f aca="false">E134*F134</f>
        <v>20993</v>
      </c>
      <c r="H134" s="7" t="s">
        <v>45</v>
      </c>
      <c r="I134" s="7" t="s">
        <v>50</v>
      </c>
    </row>
    <row r="135" customFormat="false" ht="15" hidden="false" customHeight="false" outlineLevel="0" collapsed="false">
      <c r="A135" s="7" t="s">
        <v>179</v>
      </c>
      <c r="B135" s="8" t="n">
        <v>45997</v>
      </c>
      <c r="C135" s="7" t="s">
        <v>24</v>
      </c>
      <c r="D135" s="7" t="str">
        <f aca="false">INDEX('Price Lookup'!$B$2:$B$19,MATCH(C135,'Price Lookup'!$A$2:$A$19,0))</f>
        <v>Home &amp; Kitchen</v>
      </c>
      <c r="E135" s="7" t="n">
        <f aca="false">INDEX('Price Lookup'!$C$2:$C$19,MATCH(C135,'Price Lookup'!$A$2:$A$19,0))</f>
        <v>899</v>
      </c>
      <c r="F135" s="7" t="n">
        <v>8</v>
      </c>
      <c r="G135" s="9" t="n">
        <f aca="false">E135*F135</f>
        <v>7192</v>
      </c>
      <c r="H135" s="7" t="s">
        <v>39</v>
      </c>
      <c r="I135" s="7" t="s">
        <v>43</v>
      </c>
    </row>
    <row r="136" customFormat="false" ht="15" hidden="false" customHeight="false" outlineLevel="0" collapsed="false">
      <c r="A136" s="7" t="s">
        <v>180</v>
      </c>
      <c r="B136" s="8" t="n">
        <v>45939</v>
      </c>
      <c r="C136" s="7" t="s">
        <v>23</v>
      </c>
      <c r="D136" s="7" t="str">
        <f aca="false">INDEX('Price Lookup'!$B$2:$B$19,MATCH(C136,'Price Lookup'!$A$2:$A$19,0))</f>
        <v>Home &amp; Kitchen</v>
      </c>
      <c r="E136" s="7" t="n">
        <f aca="false">INDEX('Price Lookup'!$C$2:$C$19,MATCH(C136,'Price Lookup'!$A$2:$A$19,0))</f>
        <v>349</v>
      </c>
      <c r="F136" s="7" t="n">
        <v>6</v>
      </c>
      <c r="G136" s="9" t="n">
        <f aca="false">E136*F136</f>
        <v>2094</v>
      </c>
      <c r="H136" s="7" t="s">
        <v>47</v>
      </c>
      <c r="I136" s="7" t="s">
        <v>50</v>
      </c>
    </row>
    <row r="137" customFormat="false" ht="15" hidden="false" customHeight="false" outlineLevel="0" collapsed="false">
      <c r="A137" s="7" t="s">
        <v>181</v>
      </c>
      <c r="B137" s="8" t="n">
        <v>45814</v>
      </c>
      <c r="C137" s="7" t="s">
        <v>20</v>
      </c>
      <c r="D137" s="7" t="str">
        <f aca="false">INDEX('Price Lookup'!$B$2:$B$19,MATCH(C137,'Price Lookup'!$A$2:$A$19,0))</f>
        <v>Furniture</v>
      </c>
      <c r="E137" s="7" t="n">
        <f aca="false">INDEX('Price Lookup'!$C$2:$C$19,MATCH(C137,'Price Lookup'!$A$2:$A$19,0))</f>
        <v>799</v>
      </c>
      <c r="F137" s="7" t="n">
        <v>4</v>
      </c>
      <c r="G137" s="9" t="n">
        <f aca="false">E137*F137</f>
        <v>3196</v>
      </c>
      <c r="H137" s="7" t="s">
        <v>42</v>
      </c>
      <c r="I137" s="7" t="s">
        <v>40</v>
      </c>
    </row>
    <row r="138" customFormat="false" ht="15" hidden="false" customHeight="false" outlineLevel="0" collapsed="false">
      <c r="A138" s="7" t="s">
        <v>182</v>
      </c>
      <c r="B138" s="8" t="n">
        <v>45819</v>
      </c>
      <c r="C138" s="7" t="s">
        <v>13</v>
      </c>
      <c r="D138" s="7" t="str">
        <f aca="false">INDEX('Price Lookup'!$B$2:$B$19,MATCH(C138,'Price Lookup'!$A$2:$A$19,0))</f>
        <v>Stationery</v>
      </c>
      <c r="E138" s="7" t="n">
        <f aca="false">INDEX('Price Lookup'!$C$2:$C$19,MATCH(C138,'Price Lookup'!$A$2:$A$19,0))</f>
        <v>60</v>
      </c>
      <c r="F138" s="7" t="n">
        <v>3</v>
      </c>
      <c r="G138" s="9" t="n">
        <f aca="false">E138*F138</f>
        <v>180</v>
      </c>
      <c r="H138" s="7" t="s">
        <v>45</v>
      </c>
      <c r="I138" s="7" t="s">
        <v>40</v>
      </c>
    </row>
    <row r="139" customFormat="false" ht="15" hidden="false" customHeight="false" outlineLevel="0" collapsed="false">
      <c r="A139" s="7" t="s">
        <v>183</v>
      </c>
      <c r="B139" s="8" t="n">
        <v>45905</v>
      </c>
      <c r="C139" s="7" t="s">
        <v>20</v>
      </c>
      <c r="D139" s="7" t="str">
        <f aca="false">INDEX('Price Lookup'!$B$2:$B$19,MATCH(C139,'Price Lookup'!$A$2:$A$19,0))</f>
        <v>Furniture</v>
      </c>
      <c r="E139" s="7" t="n">
        <f aca="false">INDEX('Price Lookup'!$C$2:$C$19,MATCH(C139,'Price Lookup'!$A$2:$A$19,0))</f>
        <v>799</v>
      </c>
      <c r="F139" s="7" t="n">
        <v>5</v>
      </c>
      <c r="G139" s="9" t="n">
        <f aca="false">E139*F139</f>
        <v>3995</v>
      </c>
      <c r="H139" s="7" t="s">
        <v>42</v>
      </c>
      <c r="I139" s="7" t="s">
        <v>40</v>
      </c>
    </row>
    <row r="140" customFormat="false" ht="15" hidden="false" customHeight="false" outlineLevel="0" collapsed="false">
      <c r="A140" s="7" t="s">
        <v>184</v>
      </c>
      <c r="B140" s="8" t="n">
        <v>45809</v>
      </c>
      <c r="C140" s="7" t="s">
        <v>19</v>
      </c>
      <c r="D140" s="7" t="str">
        <f aca="false">INDEX('Price Lookup'!$B$2:$B$19,MATCH(C140,'Price Lookup'!$A$2:$A$19,0))</f>
        <v>Furniture</v>
      </c>
      <c r="E140" s="7" t="n">
        <f aca="false">INDEX('Price Lookup'!$C$2:$C$19,MATCH(C140,'Price Lookup'!$A$2:$A$19,0))</f>
        <v>2999</v>
      </c>
      <c r="F140" s="7" t="n">
        <v>6</v>
      </c>
      <c r="G140" s="9" t="n">
        <f aca="false">E140*F140</f>
        <v>17994</v>
      </c>
      <c r="H140" s="7" t="s">
        <v>45</v>
      </c>
      <c r="I140" s="7" t="s">
        <v>50</v>
      </c>
    </row>
    <row r="141" customFormat="false" ht="15" hidden="false" customHeight="false" outlineLevel="0" collapsed="false">
      <c r="A141" s="7" t="s">
        <v>185</v>
      </c>
      <c r="B141" s="8" t="n">
        <v>45665</v>
      </c>
      <c r="C141" s="7" t="s">
        <v>32</v>
      </c>
      <c r="D141" s="7" t="str">
        <f aca="false">INDEX('Price Lookup'!$B$2:$B$19,MATCH(C141,'Price Lookup'!$A$2:$A$19,0))</f>
        <v>Personal Care</v>
      </c>
      <c r="E141" s="7" t="n">
        <f aca="false">INDEX('Price Lookup'!$C$2:$C$19,MATCH(C141,'Price Lookup'!$A$2:$A$19,0))</f>
        <v>99</v>
      </c>
      <c r="F141" s="7" t="n">
        <v>3</v>
      </c>
      <c r="G141" s="9" t="n">
        <f aca="false">E141*F141</f>
        <v>297</v>
      </c>
      <c r="H141" s="7" t="s">
        <v>39</v>
      </c>
      <c r="I141" s="7" t="s">
        <v>53</v>
      </c>
    </row>
    <row r="142" customFormat="false" ht="15" hidden="false" customHeight="false" outlineLevel="0" collapsed="false">
      <c r="A142" s="7" t="s">
        <v>186</v>
      </c>
      <c r="B142" s="8" t="n">
        <v>45685</v>
      </c>
      <c r="C142" s="7" t="s">
        <v>32</v>
      </c>
      <c r="D142" s="7" t="str">
        <f aca="false">INDEX('Price Lookup'!$B$2:$B$19,MATCH(C142,'Price Lookup'!$A$2:$A$19,0))</f>
        <v>Personal Care</v>
      </c>
      <c r="E142" s="7" t="n">
        <f aca="false">INDEX('Price Lookup'!$C$2:$C$19,MATCH(C142,'Price Lookup'!$A$2:$A$19,0))</f>
        <v>99</v>
      </c>
      <c r="F142" s="7" t="n">
        <v>5</v>
      </c>
      <c r="G142" s="9" t="n">
        <f aca="false">E142*F142</f>
        <v>495</v>
      </c>
      <c r="H142" s="7" t="s">
        <v>45</v>
      </c>
      <c r="I142" s="7" t="s">
        <v>43</v>
      </c>
    </row>
    <row r="143" customFormat="false" ht="15" hidden="false" customHeight="false" outlineLevel="0" collapsed="false">
      <c r="A143" s="7" t="s">
        <v>187</v>
      </c>
      <c r="B143" s="8" t="n">
        <v>45710</v>
      </c>
      <c r="C143" s="7" t="s">
        <v>9</v>
      </c>
      <c r="D143" s="7" t="str">
        <f aca="false">INDEX('Price Lookup'!$B$2:$B$19,MATCH(C143,'Price Lookup'!$A$2:$A$19,0))</f>
        <v>Electronics</v>
      </c>
      <c r="E143" s="7" t="n">
        <f aca="false">INDEX('Price Lookup'!$C$2:$C$19,MATCH(C143,'Price Lookup'!$A$2:$A$19,0))</f>
        <v>599</v>
      </c>
      <c r="F143" s="7" t="n">
        <v>5</v>
      </c>
      <c r="G143" s="9" t="n">
        <f aca="false">E143*F143</f>
        <v>2995</v>
      </c>
      <c r="H143" s="7" t="s">
        <v>47</v>
      </c>
      <c r="I143" s="7" t="s">
        <v>43</v>
      </c>
    </row>
    <row r="144" customFormat="false" ht="15" hidden="false" customHeight="false" outlineLevel="0" collapsed="false">
      <c r="A144" s="7" t="s">
        <v>188</v>
      </c>
      <c r="B144" s="8" t="n">
        <v>45883</v>
      </c>
      <c r="C144" s="7" t="s">
        <v>23</v>
      </c>
      <c r="D144" s="7" t="str">
        <f aca="false">INDEX('Price Lookup'!$B$2:$B$19,MATCH(C144,'Price Lookup'!$A$2:$A$19,0))</f>
        <v>Home &amp; Kitchen</v>
      </c>
      <c r="E144" s="7" t="n">
        <f aca="false">INDEX('Price Lookup'!$C$2:$C$19,MATCH(C144,'Price Lookup'!$A$2:$A$19,0))</f>
        <v>349</v>
      </c>
      <c r="F144" s="7" t="n">
        <v>3</v>
      </c>
      <c r="G144" s="9" t="n">
        <f aca="false">E144*F144</f>
        <v>1047</v>
      </c>
      <c r="H144" s="7" t="s">
        <v>42</v>
      </c>
      <c r="I144" s="7" t="s">
        <v>50</v>
      </c>
    </row>
    <row r="145" customFormat="false" ht="15" hidden="false" customHeight="false" outlineLevel="0" collapsed="false">
      <c r="A145" s="7" t="s">
        <v>189</v>
      </c>
      <c r="B145" s="8" t="n">
        <v>45902</v>
      </c>
      <c r="C145" s="7" t="s">
        <v>13</v>
      </c>
      <c r="D145" s="7" t="str">
        <f aca="false">INDEX('Price Lookup'!$B$2:$B$19,MATCH(C145,'Price Lookup'!$A$2:$A$19,0))</f>
        <v>Stationery</v>
      </c>
      <c r="E145" s="7" t="n">
        <f aca="false">INDEX('Price Lookup'!$C$2:$C$19,MATCH(C145,'Price Lookup'!$A$2:$A$19,0))</f>
        <v>60</v>
      </c>
      <c r="F145" s="7" t="n">
        <v>2</v>
      </c>
      <c r="G145" s="9" t="n">
        <f aca="false">E145*F145</f>
        <v>120</v>
      </c>
      <c r="H145" s="7" t="s">
        <v>47</v>
      </c>
      <c r="I145" s="7" t="s">
        <v>43</v>
      </c>
    </row>
    <row r="146" customFormat="false" ht="15" hidden="false" customHeight="false" outlineLevel="0" collapsed="false">
      <c r="A146" s="7" t="s">
        <v>190</v>
      </c>
      <c r="B146" s="8" t="n">
        <v>45695</v>
      </c>
      <c r="C146" s="7" t="s">
        <v>11</v>
      </c>
      <c r="D146" s="7" t="str">
        <f aca="false">INDEX('Price Lookup'!$B$2:$B$19,MATCH(C146,'Price Lookup'!$A$2:$A$19,0))</f>
        <v>Electronics</v>
      </c>
      <c r="E146" s="7" t="n">
        <f aca="false">INDEX('Price Lookup'!$C$2:$C$19,MATCH(C146,'Price Lookup'!$A$2:$A$19,0))</f>
        <v>1499</v>
      </c>
      <c r="F146" s="7" t="n">
        <v>3</v>
      </c>
      <c r="G146" s="9" t="n">
        <f aca="false">E146*F146</f>
        <v>4497</v>
      </c>
      <c r="H146" s="7" t="s">
        <v>45</v>
      </c>
      <c r="I146" s="7" t="s">
        <v>50</v>
      </c>
    </row>
    <row r="147" customFormat="false" ht="15" hidden="false" customHeight="false" outlineLevel="0" collapsed="false">
      <c r="A147" s="7" t="s">
        <v>191</v>
      </c>
      <c r="B147" s="8" t="n">
        <v>45701</v>
      </c>
      <c r="C147" s="7" t="s">
        <v>19</v>
      </c>
      <c r="D147" s="7" t="str">
        <f aca="false">INDEX('Price Lookup'!$B$2:$B$19,MATCH(C147,'Price Lookup'!$A$2:$A$19,0))</f>
        <v>Furniture</v>
      </c>
      <c r="E147" s="7" t="n">
        <f aca="false">INDEX('Price Lookup'!$C$2:$C$19,MATCH(C147,'Price Lookup'!$A$2:$A$19,0))</f>
        <v>2999</v>
      </c>
      <c r="F147" s="7" t="n">
        <v>2</v>
      </c>
      <c r="G147" s="9" t="n">
        <f aca="false">E147*F147</f>
        <v>5998</v>
      </c>
      <c r="H147" s="7" t="s">
        <v>47</v>
      </c>
      <c r="I147" s="7" t="s">
        <v>40</v>
      </c>
    </row>
    <row r="148" customFormat="false" ht="15" hidden="false" customHeight="false" outlineLevel="0" collapsed="false">
      <c r="A148" s="7" t="s">
        <v>192</v>
      </c>
      <c r="B148" s="8" t="n">
        <v>45925</v>
      </c>
      <c r="C148" s="7" t="s">
        <v>25</v>
      </c>
      <c r="D148" s="7" t="str">
        <f aca="false">INDEX('Price Lookup'!$B$2:$B$19,MATCH(C148,'Price Lookup'!$A$2:$A$19,0))</f>
        <v>Apparel</v>
      </c>
      <c r="E148" s="7" t="n">
        <f aca="false">INDEX('Price Lookup'!$C$2:$C$19,MATCH(C148,'Price Lookup'!$A$2:$A$19,0))</f>
        <v>499</v>
      </c>
      <c r="F148" s="7" t="n">
        <v>8</v>
      </c>
      <c r="G148" s="9" t="n">
        <f aca="false">E148*F148</f>
        <v>3992</v>
      </c>
      <c r="H148" s="7" t="s">
        <v>47</v>
      </c>
      <c r="I148" s="7" t="s">
        <v>50</v>
      </c>
    </row>
    <row r="149" customFormat="false" ht="15" hidden="false" customHeight="false" outlineLevel="0" collapsed="false">
      <c r="A149" s="7" t="s">
        <v>193</v>
      </c>
      <c r="B149" s="8" t="n">
        <v>45959</v>
      </c>
      <c r="C149" s="7" t="s">
        <v>27</v>
      </c>
      <c r="D149" s="7" t="str">
        <f aca="false">INDEX('Price Lookup'!$B$2:$B$19,MATCH(C149,'Price Lookup'!$A$2:$A$19,0))</f>
        <v>Apparel</v>
      </c>
      <c r="E149" s="7" t="n">
        <f aca="false">INDEX('Price Lookup'!$C$2:$C$19,MATCH(C149,'Price Lookup'!$A$2:$A$19,0))</f>
        <v>1299</v>
      </c>
      <c r="F149" s="7" t="n">
        <v>5</v>
      </c>
      <c r="G149" s="9" t="n">
        <f aca="false">E149*F149</f>
        <v>6495</v>
      </c>
      <c r="H149" s="7" t="s">
        <v>42</v>
      </c>
      <c r="I149" s="7" t="s">
        <v>53</v>
      </c>
    </row>
    <row r="150" customFormat="false" ht="15" hidden="false" customHeight="false" outlineLevel="0" collapsed="false">
      <c r="A150" s="7" t="s">
        <v>194</v>
      </c>
      <c r="B150" s="8" t="n">
        <v>45764</v>
      </c>
      <c r="C150" s="7" t="s">
        <v>17</v>
      </c>
      <c r="D150" s="7" t="str">
        <f aca="false">INDEX('Price Lookup'!$B$2:$B$19,MATCH(C150,'Price Lookup'!$A$2:$A$19,0))</f>
        <v>Furniture</v>
      </c>
      <c r="E150" s="7" t="n">
        <f aca="false">INDEX('Price Lookup'!$C$2:$C$19,MATCH(C150,'Price Lookup'!$A$2:$A$19,0))</f>
        <v>3499</v>
      </c>
      <c r="F150" s="7" t="n">
        <v>5</v>
      </c>
      <c r="G150" s="9" t="n">
        <f aca="false">E150*F150</f>
        <v>17495</v>
      </c>
      <c r="H150" s="7" t="s">
        <v>42</v>
      </c>
      <c r="I150" s="7" t="s">
        <v>40</v>
      </c>
    </row>
    <row r="151" customFormat="false" ht="15" hidden="false" customHeight="false" outlineLevel="0" collapsed="false">
      <c r="A151" s="7" t="s">
        <v>195</v>
      </c>
      <c r="B151" s="8" t="n">
        <v>45780</v>
      </c>
      <c r="C151" s="7" t="s">
        <v>16</v>
      </c>
      <c r="D151" s="7" t="str">
        <f aca="false">INDEX('Price Lookup'!$B$2:$B$19,MATCH(C151,'Price Lookup'!$A$2:$A$19,0))</f>
        <v>Stationery</v>
      </c>
      <c r="E151" s="7" t="n">
        <f aca="false">INDEX('Price Lookup'!$C$2:$C$19,MATCH(C151,'Price Lookup'!$A$2:$A$19,0))</f>
        <v>90</v>
      </c>
      <c r="F151" s="7" t="n">
        <v>2</v>
      </c>
      <c r="G151" s="9" t="n">
        <f aca="false">E151*F151</f>
        <v>180</v>
      </c>
      <c r="H151" s="7" t="s">
        <v>45</v>
      </c>
      <c r="I151" s="7" t="s">
        <v>53</v>
      </c>
    </row>
    <row r="152" customFormat="false" ht="15" hidden="false" customHeight="false" outlineLevel="0" collapsed="false">
      <c r="A152" s="7" t="s">
        <v>196</v>
      </c>
      <c r="B152" s="8" t="n">
        <v>45867</v>
      </c>
      <c r="C152" s="7" t="s">
        <v>28</v>
      </c>
      <c r="D152" s="7" t="str">
        <f aca="false">INDEX('Price Lookup'!$B$2:$B$19,MATCH(C152,'Price Lookup'!$A$2:$A$19,0))</f>
        <v>Apparel</v>
      </c>
      <c r="E152" s="7" t="n">
        <f aca="false">INDEX('Price Lookup'!$C$2:$C$19,MATCH(C152,'Price Lookup'!$A$2:$A$19,0))</f>
        <v>249</v>
      </c>
      <c r="F152" s="7" t="n">
        <v>8</v>
      </c>
      <c r="G152" s="9" t="n">
        <f aca="false">E152*F152</f>
        <v>1992</v>
      </c>
      <c r="H152" s="7" t="s">
        <v>39</v>
      </c>
      <c r="I152" s="7" t="s">
        <v>53</v>
      </c>
    </row>
    <row r="153" customFormat="false" ht="15" hidden="false" customHeight="false" outlineLevel="0" collapsed="false">
      <c r="A153" s="7" t="s">
        <v>197</v>
      </c>
      <c r="B153" s="8" t="n">
        <v>45776</v>
      </c>
      <c r="C153" s="7" t="s">
        <v>21</v>
      </c>
      <c r="D153" s="7" t="str">
        <f aca="false">INDEX('Price Lookup'!$B$2:$B$19,MATCH(C153,'Price Lookup'!$A$2:$A$19,0))</f>
        <v>Home &amp; Kitchen</v>
      </c>
      <c r="E153" s="7" t="n">
        <f aca="false">INDEX('Price Lookup'!$C$2:$C$19,MATCH(C153,'Price Lookup'!$A$2:$A$19,0))</f>
        <v>199</v>
      </c>
      <c r="F153" s="7" t="n">
        <v>5</v>
      </c>
      <c r="G153" s="9" t="n">
        <f aca="false">E153*F153</f>
        <v>995</v>
      </c>
      <c r="H153" s="7" t="s">
        <v>47</v>
      </c>
      <c r="I153" s="7" t="s">
        <v>53</v>
      </c>
    </row>
    <row r="154" customFormat="false" ht="15" hidden="false" customHeight="false" outlineLevel="0" collapsed="false">
      <c r="A154" s="7" t="s">
        <v>198</v>
      </c>
      <c r="B154" s="8" t="n">
        <v>46009</v>
      </c>
      <c r="C154" s="7" t="s">
        <v>19</v>
      </c>
      <c r="D154" s="7" t="str">
        <f aca="false">INDEX('Price Lookup'!$B$2:$B$19,MATCH(C154,'Price Lookup'!$A$2:$A$19,0))</f>
        <v>Furniture</v>
      </c>
      <c r="E154" s="7" t="n">
        <f aca="false">INDEX('Price Lookup'!$C$2:$C$19,MATCH(C154,'Price Lookup'!$A$2:$A$19,0))</f>
        <v>2999</v>
      </c>
      <c r="F154" s="7" t="n">
        <v>5</v>
      </c>
      <c r="G154" s="9" t="n">
        <f aca="false">E154*F154</f>
        <v>14995</v>
      </c>
      <c r="H154" s="7" t="s">
        <v>45</v>
      </c>
      <c r="I154" s="7" t="s">
        <v>43</v>
      </c>
    </row>
    <row r="155" customFormat="false" ht="15" hidden="false" customHeight="false" outlineLevel="0" collapsed="false">
      <c r="A155" s="7" t="s">
        <v>199</v>
      </c>
      <c r="B155" s="8" t="n">
        <v>45716</v>
      </c>
      <c r="C155" s="7" t="s">
        <v>32</v>
      </c>
      <c r="D155" s="7" t="str">
        <f aca="false">INDEX('Price Lookup'!$B$2:$B$19,MATCH(C155,'Price Lookup'!$A$2:$A$19,0))</f>
        <v>Personal Care</v>
      </c>
      <c r="E155" s="7" t="n">
        <f aca="false">INDEX('Price Lookup'!$C$2:$C$19,MATCH(C155,'Price Lookup'!$A$2:$A$19,0))</f>
        <v>99</v>
      </c>
      <c r="F155" s="7" t="n">
        <v>4</v>
      </c>
      <c r="G155" s="9" t="n">
        <f aca="false">E155*F155</f>
        <v>396</v>
      </c>
      <c r="H155" s="7" t="s">
        <v>45</v>
      </c>
      <c r="I155" s="7" t="s">
        <v>50</v>
      </c>
    </row>
    <row r="156" customFormat="false" ht="15" hidden="false" customHeight="false" outlineLevel="0" collapsed="false">
      <c r="A156" s="7" t="s">
        <v>200</v>
      </c>
      <c r="B156" s="8" t="n">
        <v>45730</v>
      </c>
      <c r="C156" s="7" t="s">
        <v>12</v>
      </c>
      <c r="D156" s="7" t="str">
        <f aca="false">INDEX('Price Lookup'!$B$2:$B$19,MATCH(C156,'Price Lookup'!$A$2:$A$19,0))</f>
        <v>Electronics</v>
      </c>
      <c r="E156" s="7" t="n">
        <f aca="false">INDEX('Price Lookup'!$C$2:$C$19,MATCH(C156,'Price Lookup'!$A$2:$A$19,0))</f>
        <v>149</v>
      </c>
      <c r="F156" s="7" t="n">
        <v>1</v>
      </c>
      <c r="G156" s="9" t="n">
        <f aca="false">E156*F156</f>
        <v>149</v>
      </c>
      <c r="H156" s="7" t="s">
        <v>45</v>
      </c>
      <c r="I156" s="7" t="s">
        <v>50</v>
      </c>
    </row>
    <row r="157" customFormat="false" ht="15" hidden="false" customHeight="false" outlineLevel="0" collapsed="false">
      <c r="A157" s="7" t="s">
        <v>201</v>
      </c>
      <c r="B157" s="8" t="n">
        <v>45962</v>
      </c>
      <c r="C157" s="7" t="s">
        <v>21</v>
      </c>
      <c r="D157" s="7" t="str">
        <f aca="false">INDEX('Price Lookup'!$B$2:$B$19,MATCH(C157,'Price Lookup'!$A$2:$A$19,0))</f>
        <v>Home &amp; Kitchen</v>
      </c>
      <c r="E157" s="7" t="n">
        <f aca="false">INDEX('Price Lookup'!$C$2:$C$19,MATCH(C157,'Price Lookup'!$A$2:$A$19,0))</f>
        <v>199</v>
      </c>
      <c r="F157" s="7" t="n">
        <v>8</v>
      </c>
      <c r="G157" s="9" t="n">
        <f aca="false">E157*F157</f>
        <v>1592</v>
      </c>
      <c r="H157" s="7" t="s">
        <v>42</v>
      </c>
      <c r="I157" s="7" t="s">
        <v>43</v>
      </c>
    </row>
    <row r="158" customFormat="false" ht="15" hidden="false" customHeight="false" outlineLevel="0" collapsed="false">
      <c r="A158" s="7" t="s">
        <v>202</v>
      </c>
      <c r="B158" s="8" t="n">
        <v>46010</v>
      </c>
      <c r="C158" s="7" t="s">
        <v>21</v>
      </c>
      <c r="D158" s="7" t="str">
        <f aca="false">INDEX('Price Lookup'!$B$2:$B$19,MATCH(C158,'Price Lookup'!$A$2:$A$19,0))</f>
        <v>Home &amp; Kitchen</v>
      </c>
      <c r="E158" s="7" t="n">
        <f aca="false">INDEX('Price Lookup'!$C$2:$C$19,MATCH(C158,'Price Lookup'!$A$2:$A$19,0))</f>
        <v>199</v>
      </c>
      <c r="F158" s="7" t="n">
        <v>7</v>
      </c>
      <c r="G158" s="9" t="n">
        <f aca="false">E158*F158</f>
        <v>1393</v>
      </c>
      <c r="H158" s="7" t="s">
        <v>39</v>
      </c>
      <c r="I158" s="7" t="s">
        <v>43</v>
      </c>
    </row>
    <row r="159" customFormat="false" ht="15" hidden="false" customHeight="false" outlineLevel="0" collapsed="false">
      <c r="A159" s="7" t="s">
        <v>203</v>
      </c>
      <c r="B159" s="8" t="n">
        <v>45882</v>
      </c>
      <c r="C159" s="7" t="s">
        <v>12</v>
      </c>
      <c r="D159" s="7" t="str">
        <f aca="false">INDEX('Price Lookup'!$B$2:$B$19,MATCH(C159,'Price Lookup'!$A$2:$A$19,0))</f>
        <v>Electronics</v>
      </c>
      <c r="E159" s="7" t="n">
        <f aca="false">INDEX('Price Lookup'!$C$2:$C$19,MATCH(C159,'Price Lookup'!$A$2:$A$19,0))</f>
        <v>149</v>
      </c>
      <c r="F159" s="7" t="n">
        <v>1</v>
      </c>
      <c r="G159" s="9" t="n">
        <f aca="false">E159*F159</f>
        <v>149</v>
      </c>
      <c r="H159" s="7" t="s">
        <v>47</v>
      </c>
      <c r="I159" s="7" t="s">
        <v>50</v>
      </c>
    </row>
    <row r="160" customFormat="false" ht="15" hidden="false" customHeight="false" outlineLevel="0" collapsed="false">
      <c r="A160" s="7" t="s">
        <v>204</v>
      </c>
      <c r="B160" s="8" t="n">
        <v>45967</v>
      </c>
      <c r="C160" s="7" t="s">
        <v>20</v>
      </c>
      <c r="D160" s="7" t="str">
        <f aca="false">INDEX('Price Lookup'!$B$2:$B$19,MATCH(C160,'Price Lookup'!$A$2:$A$19,0))</f>
        <v>Furniture</v>
      </c>
      <c r="E160" s="7" t="n">
        <f aca="false">INDEX('Price Lookup'!$C$2:$C$19,MATCH(C160,'Price Lookup'!$A$2:$A$19,0))</f>
        <v>799</v>
      </c>
      <c r="F160" s="7" t="n">
        <v>1</v>
      </c>
      <c r="G160" s="9" t="n">
        <f aca="false">E160*F160</f>
        <v>799</v>
      </c>
      <c r="H160" s="7" t="s">
        <v>42</v>
      </c>
      <c r="I160" s="7" t="s">
        <v>40</v>
      </c>
    </row>
    <row r="161" customFormat="false" ht="15" hidden="false" customHeight="false" outlineLevel="0" collapsed="false">
      <c r="A161" s="7" t="s">
        <v>205</v>
      </c>
      <c r="B161" s="8" t="n">
        <v>46003</v>
      </c>
      <c r="C161" s="7" t="s">
        <v>9</v>
      </c>
      <c r="D161" s="7" t="str">
        <f aca="false">INDEX('Price Lookup'!$B$2:$B$19,MATCH(C161,'Price Lookup'!$A$2:$A$19,0))</f>
        <v>Electronics</v>
      </c>
      <c r="E161" s="7" t="n">
        <f aca="false">INDEX('Price Lookup'!$C$2:$C$19,MATCH(C161,'Price Lookup'!$A$2:$A$19,0))</f>
        <v>599</v>
      </c>
      <c r="F161" s="7" t="n">
        <v>5</v>
      </c>
      <c r="G161" s="9" t="n">
        <f aca="false">E161*F161</f>
        <v>2995</v>
      </c>
      <c r="H161" s="7" t="s">
        <v>42</v>
      </c>
      <c r="I161" s="7" t="s">
        <v>40</v>
      </c>
    </row>
    <row r="162" customFormat="false" ht="15" hidden="false" customHeight="false" outlineLevel="0" collapsed="false">
      <c r="A162" s="7" t="s">
        <v>206</v>
      </c>
      <c r="B162" s="8" t="n">
        <v>45898</v>
      </c>
      <c r="C162" s="7" t="s">
        <v>31</v>
      </c>
      <c r="D162" s="7" t="str">
        <f aca="false">INDEX('Price Lookup'!$B$2:$B$19,MATCH(C162,'Price Lookup'!$A$2:$A$19,0))</f>
        <v>Personal Care</v>
      </c>
      <c r="E162" s="7" t="n">
        <f aca="false">INDEX('Price Lookup'!$C$2:$C$19,MATCH(C162,'Price Lookup'!$A$2:$A$19,0))</f>
        <v>220</v>
      </c>
      <c r="F162" s="7" t="n">
        <v>8</v>
      </c>
      <c r="G162" s="9" t="n">
        <f aca="false">E162*F162</f>
        <v>1760</v>
      </c>
      <c r="H162" s="7" t="s">
        <v>39</v>
      </c>
      <c r="I162" s="7" t="s">
        <v>40</v>
      </c>
    </row>
    <row r="163" customFormat="false" ht="15" hidden="false" customHeight="false" outlineLevel="0" collapsed="false">
      <c r="A163" s="7" t="s">
        <v>207</v>
      </c>
      <c r="B163" s="8" t="n">
        <v>45957</v>
      </c>
      <c r="C163" s="7" t="s">
        <v>27</v>
      </c>
      <c r="D163" s="7" t="str">
        <f aca="false">INDEX('Price Lookup'!$B$2:$B$19,MATCH(C163,'Price Lookup'!$A$2:$A$19,0))</f>
        <v>Apparel</v>
      </c>
      <c r="E163" s="7" t="n">
        <f aca="false">INDEX('Price Lookup'!$C$2:$C$19,MATCH(C163,'Price Lookup'!$A$2:$A$19,0))</f>
        <v>1299</v>
      </c>
      <c r="F163" s="7" t="n">
        <v>8</v>
      </c>
      <c r="G163" s="9" t="n">
        <f aca="false">E163*F163</f>
        <v>10392</v>
      </c>
      <c r="H163" s="7" t="s">
        <v>42</v>
      </c>
      <c r="I163" s="7" t="s">
        <v>43</v>
      </c>
    </row>
    <row r="164" customFormat="false" ht="15" hidden="false" customHeight="false" outlineLevel="0" collapsed="false">
      <c r="A164" s="7" t="s">
        <v>208</v>
      </c>
      <c r="B164" s="8" t="n">
        <v>45836</v>
      </c>
      <c r="C164" s="7" t="s">
        <v>27</v>
      </c>
      <c r="D164" s="7" t="str">
        <f aca="false">INDEX('Price Lookup'!$B$2:$B$19,MATCH(C164,'Price Lookup'!$A$2:$A$19,0))</f>
        <v>Apparel</v>
      </c>
      <c r="E164" s="7" t="n">
        <f aca="false">INDEX('Price Lookup'!$C$2:$C$19,MATCH(C164,'Price Lookup'!$A$2:$A$19,0))</f>
        <v>1299</v>
      </c>
      <c r="F164" s="7" t="n">
        <v>6</v>
      </c>
      <c r="G164" s="9" t="n">
        <f aca="false">E164*F164</f>
        <v>7794</v>
      </c>
      <c r="H164" s="7" t="s">
        <v>39</v>
      </c>
      <c r="I164" s="7" t="s">
        <v>53</v>
      </c>
    </row>
    <row r="165" customFormat="false" ht="15" hidden="false" customHeight="false" outlineLevel="0" collapsed="false">
      <c r="A165" s="7" t="s">
        <v>209</v>
      </c>
      <c r="B165" s="8" t="n">
        <v>45740</v>
      </c>
      <c r="C165" s="7" t="s">
        <v>23</v>
      </c>
      <c r="D165" s="7" t="str">
        <f aca="false">INDEX('Price Lookup'!$B$2:$B$19,MATCH(C165,'Price Lookup'!$A$2:$A$19,0))</f>
        <v>Home &amp; Kitchen</v>
      </c>
      <c r="E165" s="7" t="n">
        <f aca="false">INDEX('Price Lookup'!$C$2:$C$19,MATCH(C165,'Price Lookup'!$A$2:$A$19,0))</f>
        <v>349</v>
      </c>
      <c r="F165" s="7" t="n">
        <v>7</v>
      </c>
      <c r="G165" s="9" t="n">
        <f aca="false">E165*F165</f>
        <v>2443</v>
      </c>
      <c r="H165" s="7" t="s">
        <v>47</v>
      </c>
      <c r="I165" s="7" t="s">
        <v>50</v>
      </c>
    </row>
    <row r="166" customFormat="false" ht="15" hidden="false" customHeight="false" outlineLevel="0" collapsed="false">
      <c r="A166" s="7" t="s">
        <v>210</v>
      </c>
      <c r="B166" s="8" t="n">
        <v>45997</v>
      </c>
      <c r="C166" s="7" t="s">
        <v>25</v>
      </c>
      <c r="D166" s="7" t="str">
        <f aca="false">INDEX('Price Lookup'!$B$2:$B$19,MATCH(C166,'Price Lookup'!$A$2:$A$19,0))</f>
        <v>Apparel</v>
      </c>
      <c r="E166" s="7" t="n">
        <f aca="false">INDEX('Price Lookup'!$C$2:$C$19,MATCH(C166,'Price Lookup'!$A$2:$A$19,0))</f>
        <v>499</v>
      </c>
      <c r="F166" s="7" t="n">
        <v>1</v>
      </c>
      <c r="G166" s="9" t="n">
        <f aca="false">E166*F166</f>
        <v>499</v>
      </c>
      <c r="H166" s="7" t="s">
        <v>47</v>
      </c>
      <c r="I166" s="7" t="s">
        <v>53</v>
      </c>
    </row>
    <row r="167" customFormat="false" ht="15" hidden="false" customHeight="false" outlineLevel="0" collapsed="false">
      <c r="A167" s="7" t="s">
        <v>211</v>
      </c>
      <c r="B167" s="8" t="n">
        <v>45819</v>
      </c>
      <c r="C167" s="7" t="s">
        <v>20</v>
      </c>
      <c r="D167" s="7" t="str">
        <f aca="false">INDEX('Price Lookup'!$B$2:$B$19,MATCH(C167,'Price Lookup'!$A$2:$A$19,0))</f>
        <v>Furniture</v>
      </c>
      <c r="E167" s="7" t="n">
        <f aca="false">INDEX('Price Lookup'!$C$2:$C$19,MATCH(C167,'Price Lookup'!$A$2:$A$19,0))</f>
        <v>799</v>
      </c>
      <c r="F167" s="7" t="n">
        <v>6</v>
      </c>
      <c r="G167" s="9" t="n">
        <f aca="false">E167*F167</f>
        <v>4794</v>
      </c>
      <c r="H167" s="7" t="s">
        <v>42</v>
      </c>
      <c r="I167" s="7" t="s">
        <v>43</v>
      </c>
    </row>
    <row r="168" customFormat="false" ht="15" hidden="false" customHeight="false" outlineLevel="0" collapsed="false">
      <c r="A168" s="7" t="s">
        <v>212</v>
      </c>
      <c r="B168" s="8" t="n">
        <v>45921</v>
      </c>
      <c r="C168" s="7" t="s">
        <v>9</v>
      </c>
      <c r="D168" s="7" t="str">
        <f aca="false">INDEX('Price Lookup'!$B$2:$B$19,MATCH(C168,'Price Lookup'!$A$2:$A$19,0))</f>
        <v>Electronics</v>
      </c>
      <c r="E168" s="7" t="n">
        <f aca="false">INDEX('Price Lookup'!$C$2:$C$19,MATCH(C168,'Price Lookup'!$A$2:$A$19,0))</f>
        <v>599</v>
      </c>
      <c r="F168" s="7" t="n">
        <v>8</v>
      </c>
      <c r="G168" s="9" t="n">
        <f aca="false">E168*F168</f>
        <v>4792</v>
      </c>
      <c r="H168" s="7" t="s">
        <v>47</v>
      </c>
      <c r="I168" s="7" t="s">
        <v>53</v>
      </c>
    </row>
    <row r="169" customFormat="false" ht="15" hidden="false" customHeight="false" outlineLevel="0" collapsed="false">
      <c r="A169" s="7" t="s">
        <v>213</v>
      </c>
      <c r="B169" s="8" t="n">
        <v>45754</v>
      </c>
      <c r="C169" s="7" t="s">
        <v>31</v>
      </c>
      <c r="D169" s="7" t="str">
        <f aca="false">INDEX('Price Lookup'!$B$2:$B$19,MATCH(C169,'Price Lookup'!$A$2:$A$19,0))</f>
        <v>Personal Care</v>
      </c>
      <c r="E169" s="7" t="n">
        <f aca="false">INDEX('Price Lookup'!$C$2:$C$19,MATCH(C169,'Price Lookup'!$A$2:$A$19,0))</f>
        <v>220</v>
      </c>
      <c r="F169" s="7" t="n">
        <v>6</v>
      </c>
      <c r="G169" s="9" t="n">
        <f aca="false">E169*F169</f>
        <v>1320</v>
      </c>
      <c r="H169" s="7" t="s">
        <v>47</v>
      </c>
      <c r="I169" s="7" t="s">
        <v>43</v>
      </c>
    </row>
    <row r="170" customFormat="false" ht="15" hidden="false" customHeight="false" outlineLevel="0" collapsed="false">
      <c r="A170" s="7" t="s">
        <v>214</v>
      </c>
      <c r="B170" s="8" t="n">
        <v>45684</v>
      </c>
      <c r="C170" s="7" t="s">
        <v>17</v>
      </c>
      <c r="D170" s="7" t="str">
        <f aca="false">INDEX('Price Lookup'!$B$2:$B$19,MATCH(C170,'Price Lookup'!$A$2:$A$19,0))</f>
        <v>Furniture</v>
      </c>
      <c r="E170" s="7" t="n">
        <f aca="false">INDEX('Price Lookup'!$C$2:$C$19,MATCH(C170,'Price Lookup'!$A$2:$A$19,0))</f>
        <v>3499</v>
      </c>
      <c r="F170" s="7" t="n">
        <v>5</v>
      </c>
      <c r="G170" s="9" t="n">
        <f aca="false">E170*F170</f>
        <v>17495</v>
      </c>
      <c r="H170" s="7" t="s">
        <v>45</v>
      </c>
      <c r="I170" s="7" t="s">
        <v>50</v>
      </c>
    </row>
    <row r="171" customFormat="false" ht="15" hidden="false" customHeight="false" outlineLevel="0" collapsed="false">
      <c r="A171" s="7" t="s">
        <v>215</v>
      </c>
      <c r="B171" s="8" t="n">
        <v>45882</v>
      </c>
      <c r="C171" s="7" t="s">
        <v>29</v>
      </c>
      <c r="D171" s="7" t="str">
        <f aca="false">INDEX('Price Lookup'!$B$2:$B$19,MATCH(C171,'Price Lookup'!$A$2:$A$19,0))</f>
        <v>Personal Care</v>
      </c>
      <c r="E171" s="7" t="n">
        <f aca="false">INDEX('Price Lookup'!$C$2:$C$19,MATCH(C171,'Price Lookup'!$A$2:$A$19,0))</f>
        <v>179</v>
      </c>
      <c r="F171" s="7" t="n">
        <v>2</v>
      </c>
      <c r="G171" s="9" t="n">
        <f aca="false">E171*F171</f>
        <v>358</v>
      </c>
      <c r="H171" s="7" t="s">
        <v>42</v>
      </c>
      <c r="I171" s="7" t="s">
        <v>40</v>
      </c>
    </row>
    <row r="172" customFormat="false" ht="15" hidden="false" customHeight="false" outlineLevel="0" collapsed="false">
      <c r="A172" s="7" t="s">
        <v>216</v>
      </c>
      <c r="B172" s="8" t="n">
        <v>46021</v>
      </c>
      <c r="C172" s="7" t="s">
        <v>16</v>
      </c>
      <c r="D172" s="7" t="str">
        <f aca="false">INDEX('Price Lookup'!$B$2:$B$19,MATCH(C172,'Price Lookup'!$A$2:$A$19,0))</f>
        <v>Stationery</v>
      </c>
      <c r="E172" s="7" t="n">
        <f aca="false">INDEX('Price Lookup'!$C$2:$C$19,MATCH(C172,'Price Lookup'!$A$2:$A$19,0))</f>
        <v>90</v>
      </c>
      <c r="F172" s="7" t="n">
        <v>5</v>
      </c>
      <c r="G172" s="9" t="n">
        <f aca="false">E172*F172</f>
        <v>450</v>
      </c>
      <c r="H172" s="7" t="s">
        <v>42</v>
      </c>
      <c r="I172" s="7" t="s">
        <v>43</v>
      </c>
    </row>
    <row r="173" customFormat="false" ht="15" hidden="false" customHeight="false" outlineLevel="0" collapsed="false">
      <c r="A173" s="7" t="s">
        <v>217</v>
      </c>
      <c r="B173" s="8" t="n">
        <v>45705</v>
      </c>
      <c r="C173" s="7" t="s">
        <v>19</v>
      </c>
      <c r="D173" s="7" t="str">
        <f aca="false">INDEX('Price Lookup'!$B$2:$B$19,MATCH(C173,'Price Lookup'!$A$2:$A$19,0))</f>
        <v>Furniture</v>
      </c>
      <c r="E173" s="7" t="n">
        <f aca="false">INDEX('Price Lookup'!$C$2:$C$19,MATCH(C173,'Price Lookup'!$A$2:$A$19,0))</f>
        <v>2999</v>
      </c>
      <c r="F173" s="7" t="n">
        <v>2</v>
      </c>
      <c r="G173" s="9" t="n">
        <f aca="false">E173*F173</f>
        <v>5998</v>
      </c>
      <c r="H173" s="7" t="s">
        <v>47</v>
      </c>
      <c r="I173" s="7" t="s">
        <v>53</v>
      </c>
    </row>
    <row r="174" customFormat="false" ht="15" hidden="false" customHeight="false" outlineLevel="0" collapsed="false">
      <c r="A174" s="7" t="s">
        <v>218</v>
      </c>
      <c r="B174" s="8" t="n">
        <v>45989</v>
      </c>
      <c r="C174" s="7" t="s">
        <v>15</v>
      </c>
      <c r="D174" s="7" t="str">
        <f aca="false">INDEX('Price Lookup'!$B$2:$B$19,MATCH(C174,'Price Lookup'!$A$2:$A$19,0))</f>
        <v>Stationery</v>
      </c>
      <c r="E174" s="7" t="n">
        <f aca="false">INDEX('Price Lookup'!$C$2:$C$19,MATCH(C174,'Price Lookup'!$A$2:$A$19,0))</f>
        <v>40</v>
      </c>
      <c r="F174" s="7" t="n">
        <v>8</v>
      </c>
      <c r="G174" s="9" t="n">
        <f aca="false">E174*F174</f>
        <v>320</v>
      </c>
      <c r="H174" s="7" t="s">
        <v>39</v>
      </c>
      <c r="I174" s="7" t="s">
        <v>50</v>
      </c>
    </row>
    <row r="175" customFormat="false" ht="15" hidden="false" customHeight="false" outlineLevel="0" collapsed="false">
      <c r="A175" s="7" t="s">
        <v>219</v>
      </c>
      <c r="B175" s="8" t="n">
        <v>45870</v>
      </c>
      <c r="C175" s="7" t="s">
        <v>29</v>
      </c>
      <c r="D175" s="7" t="str">
        <f aca="false">INDEX('Price Lookup'!$B$2:$B$19,MATCH(C175,'Price Lookup'!$A$2:$A$19,0))</f>
        <v>Personal Care</v>
      </c>
      <c r="E175" s="7" t="n">
        <f aca="false">INDEX('Price Lookup'!$C$2:$C$19,MATCH(C175,'Price Lookup'!$A$2:$A$19,0))</f>
        <v>179</v>
      </c>
      <c r="F175" s="7" t="n">
        <v>8</v>
      </c>
      <c r="G175" s="9" t="n">
        <f aca="false">E175*F175</f>
        <v>1432</v>
      </c>
      <c r="H175" s="7" t="s">
        <v>45</v>
      </c>
      <c r="I175" s="7" t="s">
        <v>43</v>
      </c>
    </row>
    <row r="176" customFormat="false" ht="15" hidden="false" customHeight="false" outlineLevel="0" collapsed="false">
      <c r="A176" s="7" t="s">
        <v>220</v>
      </c>
      <c r="B176" s="8" t="n">
        <v>45940</v>
      </c>
      <c r="C176" s="7" t="s">
        <v>15</v>
      </c>
      <c r="D176" s="7" t="str">
        <f aca="false">INDEX('Price Lookup'!$B$2:$B$19,MATCH(C176,'Price Lookup'!$A$2:$A$19,0))</f>
        <v>Stationery</v>
      </c>
      <c r="E176" s="7" t="n">
        <f aca="false">INDEX('Price Lookup'!$C$2:$C$19,MATCH(C176,'Price Lookup'!$A$2:$A$19,0))</f>
        <v>40</v>
      </c>
      <c r="F176" s="7" t="n">
        <v>7</v>
      </c>
      <c r="G176" s="9" t="n">
        <f aca="false">E176*F176</f>
        <v>280</v>
      </c>
      <c r="H176" s="7" t="s">
        <v>45</v>
      </c>
      <c r="I176" s="7" t="s">
        <v>40</v>
      </c>
    </row>
    <row r="177" customFormat="false" ht="15" hidden="false" customHeight="false" outlineLevel="0" collapsed="false">
      <c r="A177" s="7" t="s">
        <v>221</v>
      </c>
      <c r="B177" s="8" t="n">
        <v>45693</v>
      </c>
      <c r="C177" s="7" t="s">
        <v>20</v>
      </c>
      <c r="D177" s="7" t="str">
        <f aca="false">INDEX('Price Lookup'!$B$2:$B$19,MATCH(C177,'Price Lookup'!$A$2:$A$19,0))</f>
        <v>Furniture</v>
      </c>
      <c r="E177" s="7" t="n">
        <f aca="false">INDEX('Price Lookup'!$C$2:$C$19,MATCH(C177,'Price Lookup'!$A$2:$A$19,0))</f>
        <v>799</v>
      </c>
      <c r="F177" s="7" t="n">
        <v>7</v>
      </c>
      <c r="G177" s="9" t="n">
        <f aca="false">E177*F177</f>
        <v>5593</v>
      </c>
      <c r="H177" s="7" t="s">
        <v>39</v>
      </c>
      <c r="I177" s="7" t="s">
        <v>50</v>
      </c>
    </row>
    <row r="178" customFormat="false" ht="15" hidden="false" customHeight="false" outlineLevel="0" collapsed="false">
      <c r="A178" s="7" t="s">
        <v>222</v>
      </c>
      <c r="B178" s="8" t="n">
        <v>45659</v>
      </c>
      <c r="C178" s="7" t="s">
        <v>21</v>
      </c>
      <c r="D178" s="7" t="str">
        <f aca="false">INDEX('Price Lookup'!$B$2:$B$19,MATCH(C178,'Price Lookup'!$A$2:$A$19,0))</f>
        <v>Home &amp; Kitchen</v>
      </c>
      <c r="E178" s="7" t="n">
        <f aca="false">INDEX('Price Lookup'!$C$2:$C$19,MATCH(C178,'Price Lookup'!$A$2:$A$19,0))</f>
        <v>199</v>
      </c>
      <c r="F178" s="7" t="n">
        <v>5</v>
      </c>
      <c r="G178" s="9" t="n">
        <f aca="false">E178*F178</f>
        <v>995</v>
      </c>
      <c r="H178" s="7" t="s">
        <v>47</v>
      </c>
      <c r="I178" s="7" t="s">
        <v>40</v>
      </c>
    </row>
    <row r="179" customFormat="false" ht="15" hidden="false" customHeight="false" outlineLevel="0" collapsed="false">
      <c r="A179" s="7" t="s">
        <v>223</v>
      </c>
      <c r="B179" s="8" t="n">
        <v>45886</v>
      </c>
      <c r="C179" s="7" t="s">
        <v>32</v>
      </c>
      <c r="D179" s="7" t="str">
        <f aca="false">INDEX('Price Lookup'!$B$2:$B$19,MATCH(C179,'Price Lookup'!$A$2:$A$19,0))</f>
        <v>Personal Care</v>
      </c>
      <c r="E179" s="7" t="n">
        <f aca="false">INDEX('Price Lookup'!$C$2:$C$19,MATCH(C179,'Price Lookup'!$A$2:$A$19,0))</f>
        <v>99</v>
      </c>
      <c r="F179" s="7" t="n">
        <v>8</v>
      </c>
      <c r="G179" s="9" t="n">
        <f aca="false">E179*F179</f>
        <v>792</v>
      </c>
      <c r="H179" s="7" t="s">
        <v>39</v>
      </c>
      <c r="I179" s="7" t="s">
        <v>50</v>
      </c>
    </row>
    <row r="180" customFormat="false" ht="15" hidden="false" customHeight="false" outlineLevel="0" collapsed="false">
      <c r="A180" s="7" t="s">
        <v>224</v>
      </c>
      <c r="B180" s="8" t="n">
        <v>45940</v>
      </c>
      <c r="C180" s="7" t="s">
        <v>32</v>
      </c>
      <c r="D180" s="7" t="str">
        <f aca="false">INDEX('Price Lookup'!$B$2:$B$19,MATCH(C180,'Price Lookup'!$A$2:$A$19,0))</f>
        <v>Personal Care</v>
      </c>
      <c r="E180" s="7" t="n">
        <f aca="false">INDEX('Price Lookup'!$C$2:$C$19,MATCH(C180,'Price Lookup'!$A$2:$A$19,0))</f>
        <v>99</v>
      </c>
      <c r="F180" s="7" t="n">
        <v>7</v>
      </c>
      <c r="G180" s="9" t="n">
        <f aca="false">E180*F180</f>
        <v>693</v>
      </c>
      <c r="H180" s="7" t="s">
        <v>47</v>
      </c>
      <c r="I180" s="7" t="s">
        <v>50</v>
      </c>
    </row>
    <row r="181" customFormat="false" ht="15" hidden="false" customHeight="false" outlineLevel="0" collapsed="false">
      <c r="A181" s="7" t="s">
        <v>225</v>
      </c>
      <c r="B181" s="8" t="n">
        <v>45754</v>
      </c>
      <c r="C181" s="7" t="s">
        <v>19</v>
      </c>
      <c r="D181" s="7" t="str">
        <f aca="false">INDEX('Price Lookup'!$B$2:$B$19,MATCH(C181,'Price Lookup'!$A$2:$A$19,0))</f>
        <v>Furniture</v>
      </c>
      <c r="E181" s="7" t="n">
        <f aca="false">INDEX('Price Lookup'!$C$2:$C$19,MATCH(C181,'Price Lookup'!$A$2:$A$19,0))</f>
        <v>2999</v>
      </c>
      <c r="F181" s="7" t="n">
        <v>7</v>
      </c>
      <c r="G181" s="9" t="n">
        <f aca="false">E181*F181</f>
        <v>20993</v>
      </c>
      <c r="H181" s="7" t="s">
        <v>45</v>
      </c>
      <c r="I181" s="7" t="s">
        <v>43</v>
      </c>
    </row>
    <row r="182" customFormat="false" ht="15" hidden="false" customHeight="false" outlineLevel="0" collapsed="false">
      <c r="A182" s="7" t="s">
        <v>226</v>
      </c>
      <c r="B182" s="8" t="n">
        <v>45680</v>
      </c>
      <c r="C182" s="7" t="s">
        <v>23</v>
      </c>
      <c r="D182" s="7" t="str">
        <f aca="false">INDEX('Price Lookup'!$B$2:$B$19,MATCH(C182,'Price Lookup'!$A$2:$A$19,0))</f>
        <v>Home &amp; Kitchen</v>
      </c>
      <c r="E182" s="7" t="n">
        <f aca="false">INDEX('Price Lookup'!$C$2:$C$19,MATCH(C182,'Price Lookup'!$A$2:$A$19,0))</f>
        <v>349</v>
      </c>
      <c r="F182" s="7" t="n">
        <v>8</v>
      </c>
      <c r="G182" s="9" t="n">
        <f aca="false">E182*F182</f>
        <v>2792</v>
      </c>
      <c r="H182" s="7" t="s">
        <v>47</v>
      </c>
      <c r="I182" s="7" t="s">
        <v>43</v>
      </c>
    </row>
    <row r="183" customFormat="false" ht="15" hidden="false" customHeight="false" outlineLevel="0" collapsed="false">
      <c r="A183" s="7" t="s">
        <v>227</v>
      </c>
      <c r="B183" s="8" t="n">
        <v>45997</v>
      </c>
      <c r="C183" s="7" t="s">
        <v>15</v>
      </c>
      <c r="D183" s="7" t="str">
        <f aca="false">INDEX('Price Lookup'!$B$2:$B$19,MATCH(C183,'Price Lookup'!$A$2:$A$19,0))</f>
        <v>Stationery</v>
      </c>
      <c r="E183" s="7" t="n">
        <f aca="false">INDEX('Price Lookup'!$C$2:$C$19,MATCH(C183,'Price Lookup'!$A$2:$A$19,0))</f>
        <v>40</v>
      </c>
      <c r="F183" s="7" t="n">
        <v>8</v>
      </c>
      <c r="G183" s="9" t="n">
        <f aca="false">E183*F183</f>
        <v>320</v>
      </c>
      <c r="H183" s="7" t="s">
        <v>42</v>
      </c>
      <c r="I183" s="7" t="s">
        <v>40</v>
      </c>
    </row>
    <row r="184" customFormat="false" ht="15" hidden="false" customHeight="false" outlineLevel="0" collapsed="false">
      <c r="A184" s="7" t="s">
        <v>228</v>
      </c>
      <c r="B184" s="8" t="n">
        <v>45915</v>
      </c>
      <c r="C184" s="7" t="s">
        <v>23</v>
      </c>
      <c r="D184" s="7" t="str">
        <f aca="false">INDEX('Price Lookup'!$B$2:$B$19,MATCH(C184,'Price Lookup'!$A$2:$A$19,0))</f>
        <v>Home &amp; Kitchen</v>
      </c>
      <c r="E184" s="7" t="n">
        <f aca="false">INDEX('Price Lookup'!$C$2:$C$19,MATCH(C184,'Price Lookup'!$A$2:$A$19,0))</f>
        <v>349</v>
      </c>
      <c r="F184" s="7" t="n">
        <v>2</v>
      </c>
      <c r="G184" s="9" t="n">
        <f aca="false">E184*F184</f>
        <v>698</v>
      </c>
      <c r="H184" s="7" t="s">
        <v>47</v>
      </c>
      <c r="I184" s="7" t="s">
        <v>53</v>
      </c>
    </row>
    <row r="185" customFormat="false" ht="15" hidden="false" customHeight="false" outlineLevel="0" collapsed="false">
      <c r="A185" s="7" t="s">
        <v>229</v>
      </c>
      <c r="B185" s="8" t="n">
        <v>45927</v>
      </c>
      <c r="C185" s="7" t="s">
        <v>28</v>
      </c>
      <c r="D185" s="7" t="str">
        <f aca="false">INDEX('Price Lookup'!$B$2:$B$19,MATCH(C185,'Price Lookup'!$A$2:$A$19,0))</f>
        <v>Apparel</v>
      </c>
      <c r="E185" s="7" t="n">
        <f aca="false">INDEX('Price Lookup'!$C$2:$C$19,MATCH(C185,'Price Lookup'!$A$2:$A$19,0))</f>
        <v>249</v>
      </c>
      <c r="F185" s="7" t="n">
        <v>1</v>
      </c>
      <c r="G185" s="9" t="n">
        <f aca="false">E185*F185</f>
        <v>249</v>
      </c>
      <c r="H185" s="7" t="s">
        <v>45</v>
      </c>
      <c r="I185" s="7" t="s">
        <v>43</v>
      </c>
    </row>
    <row r="186" customFormat="false" ht="15" hidden="false" customHeight="false" outlineLevel="0" collapsed="false">
      <c r="A186" s="7" t="s">
        <v>230</v>
      </c>
      <c r="B186" s="8" t="n">
        <v>45993</v>
      </c>
      <c r="C186" s="7" t="s">
        <v>15</v>
      </c>
      <c r="D186" s="7" t="str">
        <f aca="false">INDEX('Price Lookup'!$B$2:$B$19,MATCH(C186,'Price Lookup'!$A$2:$A$19,0))</f>
        <v>Stationery</v>
      </c>
      <c r="E186" s="7" t="n">
        <f aca="false">INDEX('Price Lookup'!$C$2:$C$19,MATCH(C186,'Price Lookup'!$A$2:$A$19,0))</f>
        <v>40</v>
      </c>
      <c r="F186" s="7" t="n">
        <v>2</v>
      </c>
      <c r="G186" s="9" t="n">
        <f aca="false">E186*F186</f>
        <v>80</v>
      </c>
      <c r="H186" s="7" t="s">
        <v>47</v>
      </c>
      <c r="I186" s="7" t="s">
        <v>50</v>
      </c>
    </row>
    <row r="187" customFormat="false" ht="15" hidden="false" customHeight="false" outlineLevel="0" collapsed="false">
      <c r="A187" s="7" t="s">
        <v>231</v>
      </c>
      <c r="B187" s="8" t="n">
        <v>45831</v>
      </c>
      <c r="C187" s="7" t="s">
        <v>25</v>
      </c>
      <c r="D187" s="7" t="str">
        <f aca="false">INDEX('Price Lookup'!$B$2:$B$19,MATCH(C187,'Price Lookup'!$A$2:$A$19,0))</f>
        <v>Apparel</v>
      </c>
      <c r="E187" s="7" t="n">
        <f aca="false">INDEX('Price Lookup'!$C$2:$C$19,MATCH(C187,'Price Lookup'!$A$2:$A$19,0))</f>
        <v>499</v>
      </c>
      <c r="F187" s="7" t="n">
        <v>2</v>
      </c>
      <c r="G187" s="9" t="n">
        <f aca="false">E187*F187</f>
        <v>998</v>
      </c>
      <c r="H187" s="7" t="s">
        <v>39</v>
      </c>
      <c r="I187" s="7" t="s">
        <v>43</v>
      </c>
    </row>
    <row r="188" customFormat="false" ht="15" hidden="false" customHeight="false" outlineLevel="0" collapsed="false">
      <c r="A188" s="7" t="s">
        <v>232</v>
      </c>
      <c r="B188" s="8" t="n">
        <v>45820</v>
      </c>
      <c r="C188" s="7" t="s">
        <v>29</v>
      </c>
      <c r="D188" s="7" t="str">
        <f aca="false">INDEX('Price Lookup'!$B$2:$B$19,MATCH(C188,'Price Lookup'!$A$2:$A$19,0))</f>
        <v>Personal Care</v>
      </c>
      <c r="E188" s="7" t="n">
        <f aca="false">INDEX('Price Lookup'!$C$2:$C$19,MATCH(C188,'Price Lookup'!$A$2:$A$19,0))</f>
        <v>179</v>
      </c>
      <c r="F188" s="7" t="n">
        <v>1</v>
      </c>
      <c r="G188" s="9" t="n">
        <f aca="false">E188*F188</f>
        <v>179</v>
      </c>
      <c r="H188" s="7" t="s">
        <v>42</v>
      </c>
      <c r="I188" s="7" t="s">
        <v>40</v>
      </c>
    </row>
    <row r="189" customFormat="false" ht="15" hidden="false" customHeight="false" outlineLevel="0" collapsed="false">
      <c r="A189" s="7" t="s">
        <v>233</v>
      </c>
      <c r="B189" s="8" t="n">
        <v>45981</v>
      </c>
      <c r="C189" s="7" t="s">
        <v>21</v>
      </c>
      <c r="D189" s="7" t="str">
        <f aca="false">INDEX('Price Lookup'!$B$2:$B$19,MATCH(C189,'Price Lookup'!$A$2:$A$19,0))</f>
        <v>Home &amp; Kitchen</v>
      </c>
      <c r="E189" s="7" t="n">
        <f aca="false">INDEX('Price Lookup'!$C$2:$C$19,MATCH(C189,'Price Lookup'!$A$2:$A$19,0))</f>
        <v>199</v>
      </c>
      <c r="F189" s="7" t="n">
        <v>4</v>
      </c>
      <c r="G189" s="9" t="n">
        <f aca="false">E189*F189</f>
        <v>796</v>
      </c>
      <c r="H189" s="7" t="s">
        <v>42</v>
      </c>
      <c r="I189" s="7" t="s">
        <v>43</v>
      </c>
    </row>
    <row r="190" customFormat="false" ht="15" hidden="false" customHeight="false" outlineLevel="0" collapsed="false">
      <c r="A190" s="7" t="s">
        <v>234</v>
      </c>
      <c r="B190" s="8" t="n">
        <v>45708</v>
      </c>
      <c r="C190" s="7" t="s">
        <v>13</v>
      </c>
      <c r="D190" s="7" t="str">
        <f aca="false">INDEX('Price Lookup'!$B$2:$B$19,MATCH(C190,'Price Lookup'!$A$2:$A$19,0))</f>
        <v>Stationery</v>
      </c>
      <c r="E190" s="7" t="n">
        <f aca="false">INDEX('Price Lookup'!$C$2:$C$19,MATCH(C190,'Price Lookup'!$A$2:$A$19,0))</f>
        <v>60</v>
      </c>
      <c r="F190" s="7" t="n">
        <v>8</v>
      </c>
      <c r="G190" s="9" t="n">
        <f aca="false">E190*F190</f>
        <v>480</v>
      </c>
      <c r="H190" s="7" t="s">
        <v>45</v>
      </c>
      <c r="I190" s="7" t="s">
        <v>50</v>
      </c>
    </row>
    <row r="191" customFormat="false" ht="15" hidden="false" customHeight="false" outlineLevel="0" collapsed="false">
      <c r="A191" s="7" t="s">
        <v>235</v>
      </c>
      <c r="B191" s="8" t="n">
        <v>45672</v>
      </c>
      <c r="C191" s="7" t="s">
        <v>11</v>
      </c>
      <c r="D191" s="7" t="str">
        <f aca="false">INDEX('Price Lookup'!$B$2:$B$19,MATCH(C191,'Price Lookup'!$A$2:$A$19,0))</f>
        <v>Electronics</v>
      </c>
      <c r="E191" s="7" t="n">
        <f aca="false">INDEX('Price Lookup'!$C$2:$C$19,MATCH(C191,'Price Lookup'!$A$2:$A$19,0))</f>
        <v>1499</v>
      </c>
      <c r="F191" s="7" t="n">
        <v>6</v>
      </c>
      <c r="G191" s="9" t="n">
        <f aca="false">E191*F191</f>
        <v>8994</v>
      </c>
      <c r="H191" s="7" t="s">
        <v>42</v>
      </c>
      <c r="I191" s="7" t="s">
        <v>50</v>
      </c>
    </row>
    <row r="192" customFormat="false" ht="15" hidden="false" customHeight="false" outlineLevel="0" collapsed="false">
      <c r="A192" s="7" t="s">
        <v>236</v>
      </c>
      <c r="B192" s="8" t="n">
        <v>45841</v>
      </c>
      <c r="C192" s="7" t="s">
        <v>24</v>
      </c>
      <c r="D192" s="7" t="str">
        <f aca="false">INDEX('Price Lookup'!$B$2:$B$19,MATCH(C192,'Price Lookup'!$A$2:$A$19,0))</f>
        <v>Home &amp; Kitchen</v>
      </c>
      <c r="E192" s="7" t="n">
        <f aca="false">INDEX('Price Lookup'!$C$2:$C$19,MATCH(C192,'Price Lookup'!$A$2:$A$19,0))</f>
        <v>899</v>
      </c>
      <c r="F192" s="7" t="n">
        <v>7</v>
      </c>
      <c r="G192" s="9" t="n">
        <f aca="false">E192*F192</f>
        <v>6293</v>
      </c>
      <c r="H192" s="7" t="s">
        <v>45</v>
      </c>
      <c r="I192" s="7" t="s">
        <v>40</v>
      </c>
    </row>
    <row r="193" customFormat="false" ht="15" hidden="false" customHeight="false" outlineLevel="0" collapsed="false">
      <c r="A193" s="7" t="s">
        <v>237</v>
      </c>
      <c r="B193" s="8" t="n">
        <v>45929</v>
      </c>
      <c r="C193" s="7" t="s">
        <v>27</v>
      </c>
      <c r="D193" s="7" t="str">
        <f aca="false">INDEX('Price Lookup'!$B$2:$B$19,MATCH(C193,'Price Lookup'!$A$2:$A$19,0))</f>
        <v>Apparel</v>
      </c>
      <c r="E193" s="7" t="n">
        <f aca="false">INDEX('Price Lookup'!$C$2:$C$19,MATCH(C193,'Price Lookup'!$A$2:$A$19,0))</f>
        <v>1299</v>
      </c>
      <c r="F193" s="7" t="n">
        <v>3</v>
      </c>
      <c r="G193" s="9" t="n">
        <f aca="false">E193*F193</f>
        <v>3897</v>
      </c>
      <c r="H193" s="7" t="s">
        <v>45</v>
      </c>
      <c r="I193" s="7" t="s">
        <v>40</v>
      </c>
    </row>
    <row r="194" customFormat="false" ht="15" hidden="false" customHeight="false" outlineLevel="0" collapsed="false">
      <c r="A194" s="7" t="s">
        <v>238</v>
      </c>
      <c r="B194" s="8" t="n">
        <v>45698</v>
      </c>
      <c r="C194" s="7" t="s">
        <v>25</v>
      </c>
      <c r="D194" s="7" t="str">
        <f aca="false">INDEX('Price Lookup'!$B$2:$B$19,MATCH(C194,'Price Lookup'!$A$2:$A$19,0))</f>
        <v>Apparel</v>
      </c>
      <c r="E194" s="7" t="n">
        <f aca="false">INDEX('Price Lookup'!$C$2:$C$19,MATCH(C194,'Price Lookup'!$A$2:$A$19,0))</f>
        <v>499</v>
      </c>
      <c r="F194" s="7" t="n">
        <v>4</v>
      </c>
      <c r="G194" s="9" t="n">
        <f aca="false">E194*F194</f>
        <v>1996</v>
      </c>
      <c r="H194" s="7" t="s">
        <v>47</v>
      </c>
      <c r="I194" s="7" t="s">
        <v>40</v>
      </c>
    </row>
    <row r="195" customFormat="false" ht="15" hidden="false" customHeight="false" outlineLevel="0" collapsed="false">
      <c r="A195" s="7" t="s">
        <v>239</v>
      </c>
      <c r="B195" s="8" t="n">
        <v>45776</v>
      </c>
      <c r="C195" s="7" t="s">
        <v>28</v>
      </c>
      <c r="D195" s="7" t="str">
        <f aca="false">INDEX('Price Lookup'!$B$2:$B$19,MATCH(C195,'Price Lookup'!$A$2:$A$19,0))</f>
        <v>Apparel</v>
      </c>
      <c r="E195" s="7" t="n">
        <f aca="false">INDEX('Price Lookup'!$C$2:$C$19,MATCH(C195,'Price Lookup'!$A$2:$A$19,0))</f>
        <v>249</v>
      </c>
      <c r="F195" s="7" t="n">
        <v>5</v>
      </c>
      <c r="G195" s="9" t="n">
        <f aca="false">E195*F195</f>
        <v>1245</v>
      </c>
      <c r="H195" s="7" t="s">
        <v>47</v>
      </c>
      <c r="I195" s="7" t="s">
        <v>50</v>
      </c>
    </row>
    <row r="196" customFormat="false" ht="15" hidden="false" customHeight="false" outlineLevel="0" collapsed="false">
      <c r="A196" s="7" t="s">
        <v>240</v>
      </c>
      <c r="B196" s="8" t="n">
        <v>45999</v>
      </c>
      <c r="C196" s="7" t="s">
        <v>9</v>
      </c>
      <c r="D196" s="7" t="str">
        <f aca="false">INDEX('Price Lookup'!$B$2:$B$19,MATCH(C196,'Price Lookup'!$A$2:$A$19,0))</f>
        <v>Electronics</v>
      </c>
      <c r="E196" s="7" t="n">
        <f aca="false">INDEX('Price Lookup'!$C$2:$C$19,MATCH(C196,'Price Lookup'!$A$2:$A$19,0))</f>
        <v>599</v>
      </c>
      <c r="F196" s="7" t="n">
        <v>8</v>
      </c>
      <c r="G196" s="9" t="n">
        <f aca="false">E196*F196</f>
        <v>4792</v>
      </c>
      <c r="H196" s="7" t="s">
        <v>39</v>
      </c>
      <c r="I196" s="7" t="s">
        <v>40</v>
      </c>
    </row>
    <row r="197" customFormat="false" ht="15" hidden="false" customHeight="false" outlineLevel="0" collapsed="false">
      <c r="A197" s="7" t="s">
        <v>241</v>
      </c>
      <c r="B197" s="8" t="n">
        <v>45695</v>
      </c>
      <c r="C197" s="7" t="s">
        <v>28</v>
      </c>
      <c r="D197" s="7" t="str">
        <f aca="false">INDEX('Price Lookup'!$B$2:$B$19,MATCH(C197,'Price Lookup'!$A$2:$A$19,0))</f>
        <v>Apparel</v>
      </c>
      <c r="E197" s="7" t="n">
        <f aca="false">INDEX('Price Lookup'!$C$2:$C$19,MATCH(C197,'Price Lookup'!$A$2:$A$19,0))</f>
        <v>249</v>
      </c>
      <c r="F197" s="7" t="n">
        <v>6</v>
      </c>
      <c r="G197" s="9" t="n">
        <f aca="false">E197*F197</f>
        <v>1494</v>
      </c>
      <c r="H197" s="7" t="s">
        <v>39</v>
      </c>
      <c r="I197" s="7" t="s">
        <v>43</v>
      </c>
    </row>
    <row r="198" customFormat="false" ht="15" hidden="false" customHeight="false" outlineLevel="0" collapsed="false">
      <c r="A198" s="7" t="s">
        <v>242</v>
      </c>
      <c r="B198" s="8" t="n">
        <v>46011</v>
      </c>
      <c r="C198" s="7" t="s">
        <v>20</v>
      </c>
      <c r="D198" s="7" t="str">
        <f aca="false">INDEX('Price Lookup'!$B$2:$B$19,MATCH(C198,'Price Lookup'!$A$2:$A$19,0))</f>
        <v>Furniture</v>
      </c>
      <c r="E198" s="7" t="n">
        <f aca="false">INDEX('Price Lookup'!$C$2:$C$19,MATCH(C198,'Price Lookup'!$A$2:$A$19,0))</f>
        <v>799</v>
      </c>
      <c r="F198" s="7" t="n">
        <v>8</v>
      </c>
      <c r="G198" s="9" t="n">
        <f aca="false">E198*F198</f>
        <v>6392</v>
      </c>
      <c r="H198" s="7" t="s">
        <v>39</v>
      </c>
      <c r="I198" s="7" t="s">
        <v>40</v>
      </c>
    </row>
    <row r="199" customFormat="false" ht="15" hidden="false" customHeight="false" outlineLevel="0" collapsed="false">
      <c r="A199" s="7" t="s">
        <v>243</v>
      </c>
      <c r="B199" s="8" t="n">
        <v>45854</v>
      </c>
      <c r="C199" s="7" t="s">
        <v>29</v>
      </c>
      <c r="D199" s="7" t="str">
        <f aca="false">INDEX('Price Lookup'!$B$2:$B$19,MATCH(C199,'Price Lookup'!$A$2:$A$19,0))</f>
        <v>Personal Care</v>
      </c>
      <c r="E199" s="7" t="n">
        <f aca="false">INDEX('Price Lookup'!$C$2:$C$19,MATCH(C199,'Price Lookup'!$A$2:$A$19,0))</f>
        <v>179</v>
      </c>
      <c r="F199" s="7" t="n">
        <v>2</v>
      </c>
      <c r="G199" s="9" t="n">
        <f aca="false">E199*F199</f>
        <v>358</v>
      </c>
      <c r="H199" s="7" t="s">
        <v>45</v>
      </c>
      <c r="I199" s="7" t="s">
        <v>43</v>
      </c>
    </row>
    <row r="200" customFormat="false" ht="15" hidden="false" customHeight="false" outlineLevel="0" collapsed="false">
      <c r="A200" s="7" t="s">
        <v>244</v>
      </c>
      <c r="B200" s="8" t="n">
        <v>45950</v>
      </c>
      <c r="C200" s="7" t="s">
        <v>24</v>
      </c>
      <c r="D200" s="7" t="str">
        <f aca="false">INDEX('Price Lookup'!$B$2:$B$19,MATCH(C200,'Price Lookup'!$A$2:$A$19,0))</f>
        <v>Home &amp; Kitchen</v>
      </c>
      <c r="E200" s="7" t="n">
        <f aca="false">INDEX('Price Lookup'!$C$2:$C$19,MATCH(C200,'Price Lookup'!$A$2:$A$19,0))</f>
        <v>899</v>
      </c>
      <c r="F200" s="7" t="n">
        <v>5</v>
      </c>
      <c r="G200" s="9" t="n">
        <f aca="false">E200*F200</f>
        <v>4495</v>
      </c>
      <c r="H200" s="7" t="s">
        <v>39</v>
      </c>
      <c r="I200" s="7" t="s">
        <v>53</v>
      </c>
    </row>
    <row r="201" customFormat="false" ht="15" hidden="false" customHeight="false" outlineLevel="0" collapsed="false">
      <c r="A201" s="7" t="s">
        <v>245</v>
      </c>
      <c r="B201" s="8" t="n">
        <v>45995</v>
      </c>
      <c r="C201" s="7" t="s">
        <v>25</v>
      </c>
      <c r="D201" s="7" t="str">
        <f aca="false">INDEX('Price Lookup'!$B$2:$B$19,MATCH(C201,'Price Lookup'!$A$2:$A$19,0))</f>
        <v>Apparel</v>
      </c>
      <c r="E201" s="7" t="n">
        <f aca="false">INDEX('Price Lookup'!$C$2:$C$19,MATCH(C201,'Price Lookup'!$A$2:$A$19,0))</f>
        <v>499</v>
      </c>
      <c r="F201" s="7" t="n">
        <v>5</v>
      </c>
      <c r="G201" s="9" t="n">
        <f aca="false">E201*F201</f>
        <v>2495</v>
      </c>
      <c r="H201" s="7" t="s">
        <v>42</v>
      </c>
      <c r="I201" s="7" t="s">
        <v>53</v>
      </c>
    </row>
    <row r="202" customFormat="false" ht="15" hidden="false" customHeight="false" outlineLevel="0" collapsed="false">
      <c r="A202" s="7" t="s">
        <v>246</v>
      </c>
      <c r="B202" s="8" t="n">
        <v>45968</v>
      </c>
      <c r="C202" s="7" t="s">
        <v>29</v>
      </c>
      <c r="D202" s="7" t="str">
        <f aca="false">INDEX('Price Lookup'!$B$2:$B$19,MATCH(C202,'Price Lookup'!$A$2:$A$19,0))</f>
        <v>Personal Care</v>
      </c>
      <c r="E202" s="7" t="n">
        <f aca="false">INDEX('Price Lookup'!$C$2:$C$19,MATCH(C202,'Price Lookup'!$A$2:$A$19,0))</f>
        <v>179</v>
      </c>
      <c r="F202" s="7" t="n">
        <v>5</v>
      </c>
      <c r="G202" s="9" t="n">
        <f aca="false">E202*F202</f>
        <v>895</v>
      </c>
      <c r="H202" s="7" t="s">
        <v>45</v>
      </c>
      <c r="I202" s="7" t="s">
        <v>50</v>
      </c>
    </row>
    <row r="203" customFormat="false" ht="15" hidden="false" customHeight="false" outlineLevel="0" collapsed="false">
      <c r="A203" s="7" t="s">
        <v>247</v>
      </c>
      <c r="B203" s="8" t="n">
        <v>45770</v>
      </c>
      <c r="C203" s="7" t="s">
        <v>17</v>
      </c>
      <c r="D203" s="7" t="str">
        <f aca="false">INDEX('Price Lookup'!$B$2:$B$19,MATCH(C203,'Price Lookup'!$A$2:$A$19,0))</f>
        <v>Furniture</v>
      </c>
      <c r="E203" s="7" t="n">
        <f aca="false">INDEX('Price Lookup'!$C$2:$C$19,MATCH(C203,'Price Lookup'!$A$2:$A$19,0))</f>
        <v>3499</v>
      </c>
      <c r="F203" s="7" t="n">
        <v>5</v>
      </c>
      <c r="G203" s="9" t="n">
        <f aca="false">E203*F203</f>
        <v>17495</v>
      </c>
      <c r="H203" s="7" t="s">
        <v>45</v>
      </c>
      <c r="I203" s="7" t="s">
        <v>53</v>
      </c>
    </row>
    <row r="204" customFormat="false" ht="15" hidden="false" customHeight="false" outlineLevel="0" collapsed="false">
      <c r="A204" s="7" t="s">
        <v>248</v>
      </c>
      <c r="B204" s="8" t="n">
        <v>45979</v>
      </c>
      <c r="C204" s="7" t="s">
        <v>11</v>
      </c>
      <c r="D204" s="7" t="str">
        <f aca="false">INDEX('Price Lookup'!$B$2:$B$19,MATCH(C204,'Price Lookup'!$A$2:$A$19,0))</f>
        <v>Electronics</v>
      </c>
      <c r="E204" s="7" t="n">
        <f aca="false">INDEX('Price Lookup'!$C$2:$C$19,MATCH(C204,'Price Lookup'!$A$2:$A$19,0))</f>
        <v>1499</v>
      </c>
      <c r="F204" s="7" t="n">
        <v>5</v>
      </c>
      <c r="G204" s="9" t="n">
        <f aca="false">E204*F204</f>
        <v>7495</v>
      </c>
      <c r="H204" s="7" t="s">
        <v>47</v>
      </c>
      <c r="I204" s="7" t="s">
        <v>53</v>
      </c>
    </row>
    <row r="205" customFormat="false" ht="15" hidden="false" customHeight="false" outlineLevel="0" collapsed="false">
      <c r="A205" s="7" t="s">
        <v>249</v>
      </c>
      <c r="B205" s="8" t="n">
        <v>45954</v>
      </c>
      <c r="C205" s="7" t="s">
        <v>24</v>
      </c>
      <c r="D205" s="7" t="str">
        <f aca="false">INDEX('Price Lookup'!$B$2:$B$19,MATCH(C205,'Price Lookup'!$A$2:$A$19,0))</f>
        <v>Home &amp; Kitchen</v>
      </c>
      <c r="E205" s="7" t="n">
        <f aca="false">INDEX('Price Lookup'!$C$2:$C$19,MATCH(C205,'Price Lookup'!$A$2:$A$19,0))</f>
        <v>899</v>
      </c>
      <c r="F205" s="7" t="n">
        <v>3</v>
      </c>
      <c r="G205" s="9" t="n">
        <f aca="false">E205*F205</f>
        <v>2697</v>
      </c>
      <c r="H205" s="7" t="s">
        <v>42</v>
      </c>
      <c r="I205" s="7" t="s">
        <v>50</v>
      </c>
    </row>
    <row r="206" customFormat="false" ht="15" hidden="false" customHeight="false" outlineLevel="0" collapsed="false">
      <c r="A206" s="7" t="s">
        <v>250</v>
      </c>
      <c r="B206" s="8" t="n">
        <v>45825</v>
      </c>
      <c r="C206" s="7" t="s">
        <v>27</v>
      </c>
      <c r="D206" s="7" t="str">
        <f aca="false">INDEX('Price Lookup'!$B$2:$B$19,MATCH(C206,'Price Lookup'!$A$2:$A$19,0))</f>
        <v>Apparel</v>
      </c>
      <c r="E206" s="7" t="n">
        <f aca="false">INDEX('Price Lookup'!$C$2:$C$19,MATCH(C206,'Price Lookup'!$A$2:$A$19,0))</f>
        <v>1299</v>
      </c>
      <c r="F206" s="7" t="n">
        <v>3</v>
      </c>
      <c r="G206" s="9" t="n">
        <f aca="false">E206*F206</f>
        <v>3897</v>
      </c>
      <c r="H206" s="7" t="s">
        <v>45</v>
      </c>
      <c r="I206" s="7" t="s">
        <v>40</v>
      </c>
    </row>
    <row r="207" customFormat="false" ht="15" hidden="false" customHeight="false" outlineLevel="0" collapsed="false">
      <c r="A207" s="7" t="s">
        <v>251</v>
      </c>
      <c r="B207" s="8" t="n">
        <v>45934</v>
      </c>
      <c r="C207" s="7" t="s">
        <v>24</v>
      </c>
      <c r="D207" s="7" t="str">
        <f aca="false">INDEX('Price Lookup'!$B$2:$B$19,MATCH(C207,'Price Lookup'!$A$2:$A$19,0))</f>
        <v>Home &amp; Kitchen</v>
      </c>
      <c r="E207" s="7" t="n">
        <f aca="false">INDEX('Price Lookup'!$C$2:$C$19,MATCH(C207,'Price Lookup'!$A$2:$A$19,0))</f>
        <v>899</v>
      </c>
      <c r="F207" s="7" t="n">
        <v>5</v>
      </c>
      <c r="G207" s="9" t="n">
        <f aca="false">E207*F207</f>
        <v>4495</v>
      </c>
      <c r="H207" s="7" t="s">
        <v>45</v>
      </c>
      <c r="I207" s="7" t="s">
        <v>50</v>
      </c>
    </row>
    <row r="208" customFormat="false" ht="15" hidden="false" customHeight="false" outlineLevel="0" collapsed="false">
      <c r="A208" s="7" t="s">
        <v>252</v>
      </c>
      <c r="B208" s="8" t="n">
        <v>45904</v>
      </c>
      <c r="C208" s="7" t="s">
        <v>21</v>
      </c>
      <c r="D208" s="7" t="str">
        <f aca="false">INDEX('Price Lookup'!$B$2:$B$19,MATCH(C208,'Price Lookup'!$A$2:$A$19,0))</f>
        <v>Home &amp; Kitchen</v>
      </c>
      <c r="E208" s="7" t="n">
        <f aca="false">INDEX('Price Lookup'!$C$2:$C$19,MATCH(C208,'Price Lookup'!$A$2:$A$19,0))</f>
        <v>199</v>
      </c>
      <c r="F208" s="7" t="n">
        <v>6</v>
      </c>
      <c r="G208" s="9" t="n">
        <f aca="false">E208*F208</f>
        <v>1194</v>
      </c>
      <c r="H208" s="7" t="s">
        <v>42</v>
      </c>
      <c r="I208" s="7" t="s">
        <v>43</v>
      </c>
    </row>
    <row r="209" customFormat="false" ht="15" hidden="false" customHeight="false" outlineLevel="0" collapsed="false">
      <c r="A209" s="7" t="s">
        <v>253</v>
      </c>
      <c r="B209" s="8" t="n">
        <v>45696</v>
      </c>
      <c r="C209" s="7" t="s">
        <v>15</v>
      </c>
      <c r="D209" s="7" t="str">
        <f aca="false">INDEX('Price Lookup'!$B$2:$B$19,MATCH(C209,'Price Lookup'!$A$2:$A$19,0))</f>
        <v>Stationery</v>
      </c>
      <c r="E209" s="7" t="n">
        <f aca="false">INDEX('Price Lookup'!$C$2:$C$19,MATCH(C209,'Price Lookup'!$A$2:$A$19,0))</f>
        <v>40</v>
      </c>
      <c r="F209" s="7" t="n">
        <v>4</v>
      </c>
      <c r="G209" s="9" t="n">
        <f aca="false">E209*F209</f>
        <v>160</v>
      </c>
      <c r="H209" s="7" t="s">
        <v>47</v>
      </c>
      <c r="I209" s="7" t="s">
        <v>50</v>
      </c>
    </row>
    <row r="210" customFormat="false" ht="15" hidden="false" customHeight="false" outlineLevel="0" collapsed="false">
      <c r="A210" s="7" t="s">
        <v>254</v>
      </c>
      <c r="B210" s="8" t="n">
        <v>45704</v>
      </c>
      <c r="C210" s="7" t="s">
        <v>25</v>
      </c>
      <c r="D210" s="7" t="str">
        <f aca="false">INDEX('Price Lookup'!$B$2:$B$19,MATCH(C210,'Price Lookup'!$A$2:$A$19,0))</f>
        <v>Apparel</v>
      </c>
      <c r="E210" s="7" t="n">
        <f aca="false">INDEX('Price Lookup'!$C$2:$C$19,MATCH(C210,'Price Lookup'!$A$2:$A$19,0))</f>
        <v>499</v>
      </c>
      <c r="F210" s="7" t="n">
        <v>1</v>
      </c>
      <c r="G210" s="9" t="n">
        <f aca="false">E210*F210</f>
        <v>499</v>
      </c>
      <c r="H210" s="7" t="s">
        <v>39</v>
      </c>
      <c r="I210" s="7" t="s">
        <v>53</v>
      </c>
    </row>
    <row r="211" customFormat="false" ht="15" hidden="false" customHeight="false" outlineLevel="0" collapsed="false">
      <c r="A211" s="7" t="s">
        <v>255</v>
      </c>
      <c r="B211" s="8" t="n">
        <v>45890</v>
      </c>
      <c r="C211" s="7" t="s">
        <v>24</v>
      </c>
      <c r="D211" s="7" t="str">
        <f aca="false">INDEX('Price Lookup'!$B$2:$B$19,MATCH(C211,'Price Lookup'!$A$2:$A$19,0))</f>
        <v>Home &amp; Kitchen</v>
      </c>
      <c r="E211" s="7" t="n">
        <f aca="false">INDEX('Price Lookup'!$C$2:$C$19,MATCH(C211,'Price Lookup'!$A$2:$A$19,0))</f>
        <v>899</v>
      </c>
      <c r="F211" s="7" t="n">
        <v>5</v>
      </c>
      <c r="G211" s="9" t="n">
        <f aca="false">E211*F211</f>
        <v>4495</v>
      </c>
      <c r="H211" s="7" t="s">
        <v>47</v>
      </c>
      <c r="I211" s="7" t="s">
        <v>50</v>
      </c>
    </row>
    <row r="212" customFormat="false" ht="15" hidden="false" customHeight="false" outlineLevel="0" collapsed="false">
      <c r="A212" s="7" t="s">
        <v>256</v>
      </c>
      <c r="B212" s="8" t="n">
        <v>45713</v>
      </c>
      <c r="C212" s="7" t="s">
        <v>19</v>
      </c>
      <c r="D212" s="7" t="str">
        <f aca="false">INDEX('Price Lookup'!$B$2:$B$19,MATCH(C212,'Price Lookup'!$A$2:$A$19,0))</f>
        <v>Furniture</v>
      </c>
      <c r="E212" s="7" t="n">
        <f aca="false">INDEX('Price Lookup'!$C$2:$C$19,MATCH(C212,'Price Lookup'!$A$2:$A$19,0))</f>
        <v>2999</v>
      </c>
      <c r="F212" s="7" t="n">
        <v>8</v>
      </c>
      <c r="G212" s="9" t="n">
        <f aca="false">E212*F212</f>
        <v>23992</v>
      </c>
      <c r="H212" s="7" t="s">
        <v>42</v>
      </c>
      <c r="I212" s="7" t="s">
        <v>50</v>
      </c>
    </row>
    <row r="213" customFormat="false" ht="15" hidden="false" customHeight="false" outlineLevel="0" collapsed="false">
      <c r="A213" s="7" t="s">
        <v>257</v>
      </c>
      <c r="B213" s="8" t="n">
        <v>45970</v>
      </c>
      <c r="C213" s="7" t="s">
        <v>19</v>
      </c>
      <c r="D213" s="7" t="str">
        <f aca="false">INDEX('Price Lookup'!$B$2:$B$19,MATCH(C213,'Price Lookup'!$A$2:$A$19,0))</f>
        <v>Furniture</v>
      </c>
      <c r="E213" s="7" t="n">
        <f aca="false">INDEX('Price Lookup'!$C$2:$C$19,MATCH(C213,'Price Lookup'!$A$2:$A$19,0))</f>
        <v>2999</v>
      </c>
      <c r="F213" s="7" t="n">
        <v>2</v>
      </c>
      <c r="G213" s="9" t="n">
        <f aca="false">E213*F213</f>
        <v>5998</v>
      </c>
      <c r="H213" s="7" t="s">
        <v>47</v>
      </c>
      <c r="I213" s="7" t="s">
        <v>50</v>
      </c>
    </row>
    <row r="214" customFormat="false" ht="15" hidden="false" customHeight="false" outlineLevel="0" collapsed="false">
      <c r="A214" s="7" t="s">
        <v>258</v>
      </c>
      <c r="B214" s="8" t="n">
        <v>45990</v>
      </c>
      <c r="C214" s="7" t="s">
        <v>27</v>
      </c>
      <c r="D214" s="7" t="str">
        <f aca="false">INDEX('Price Lookup'!$B$2:$B$19,MATCH(C214,'Price Lookup'!$A$2:$A$19,0))</f>
        <v>Apparel</v>
      </c>
      <c r="E214" s="7" t="n">
        <f aca="false">INDEX('Price Lookup'!$C$2:$C$19,MATCH(C214,'Price Lookup'!$A$2:$A$19,0))</f>
        <v>1299</v>
      </c>
      <c r="F214" s="7" t="n">
        <v>2</v>
      </c>
      <c r="G214" s="9" t="n">
        <f aca="false">E214*F214</f>
        <v>2598</v>
      </c>
      <c r="H214" s="7" t="s">
        <v>45</v>
      </c>
      <c r="I214" s="7" t="s">
        <v>53</v>
      </c>
    </row>
    <row r="215" customFormat="false" ht="15" hidden="false" customHeight="false" outlineLevel="0" collapsed="false">
      <c r="A215" s="7" t="s">
        <v>259</v>
      </c>
      <c r="B215" s="8" t="n">
        <v>45677</v>
      </c>
      <c r="C215" s="7" t="s">
        <v>21</v>
      </c>
      <c r="D215" s="7" t="str">
        <f aca="false">INDEX('Price Lookup'!$B$2:$B$19,MATCH(C215,'Price Lookup'!$A$2:$A$19,0))</f>
        <v>Home &amp; Kitchen</v>
      </c>
      <c r="E215" s="7" t="n">
        <f aca="false">INDEX('Price Lookup'!$C$2:$C$19,MATCH(C215,'Price Lookup'!$A$2:$A$19,0))</f>
        <v>199</v>
      </c>
      <c r="F215" s="7" t="n">
        <v>8</v>
      </c>
      <c r="G215" s="9" t="n">
        <f aca="false">E215*F215</f>
        <v>1592</v>
      </c>
      <c r="H215" s="7" t="s">
        <v>42</v>
      </c>
      <c r="I215" s="7" t="s">
        <v>53</v>
      </c>
    </row>
    <row r="216" customFormat="false" ht="15" hidden="false" customHeight="false" outlineLevel="0" collapsed="false">
      <c r="A216" s="7" t="s">
        <v>260</v>
      </c>
      <c r="B216" s="8" t="n">
        <v>45778</v>
      </c>
      <c r="C216" s="7" t="s">
        <v>32</v>
      </c>
      <c r="D216" s="7" t="str">
        <f aca="false">INDEX('Price Lookup'!$B$2:$B$19,MATCH(C216,'Price Lookup'!$A$2:$A$19,0))</f>
        <v>Personal Care</v>
      </c>
      <c r="E216" s="7" t="n">
        <f aca="false">INDEX('Price Lookup'!$C$2:$C$19,MATCH(C216,'Price Lookup'!$A$2:$A$19,0))</f>
        <v>99</v>
      </c>
      <c r="F216" s="7" t="n">
        <v>3</v>
      </c>
      <c r="G216" s="9" t="n">
        <f aca="false">E216*F216</f>
        <v>297</v>
      </c>
      <c r="H216" s="7" t="s">
        <v>47</v>
      </c>
      <c r="I216" s="7" t="s">
        <v>43</v>
      </c>
    </row>
    <row r="217" customFormat="false" ht="15" hidden="false" customHeight="false" outlineLevel="0" collapsed="false">
      <c r="A217" s="7" t="s">
        <v>261</v>
      </c>
      <c r="B217" s="8" t="n">
        <v>45847</v>
      </c>
      <c r="C217" s="7" t="s">
        <v>32</v>
      </c>
      <c r="D217" s="7" t="str">
        <f aca="false">INDEX('Price Lookup'!$B$2:$B$19,MATCH(C217,'Price Lookup'!$A$2:$A$19,0))</f>
        <v>Personal Care</v>
      </c>
      <c r="E217" s="7" t="n">
        <f aca="false">INDEX('Price Lookup'!$C$2:$C$19,MATCH(C217,'Price Lookup'!$A$2:$A$19,0))</f>
        <v>99</v>
      </c>
      <c r="F217" s="7" t="n">
        <v>7</v>
      </c>
      <c r="G217" s="9" t="n">
        <f aca="false">E217*F217</f>
        <v>693</v>
      </c>
      <c r="H217" s="7" t="s">
        <v>45</v>
      </c>
      <c r="I217" s="7" t="s">
        <v>43</v>
      </c>
    </row>
    <row r="218" customFormat="false" ht="15" hidden="false" customHeight="false" outlineLevel="0" collapsed="false">
      <c r="A218" s="7" t="s">
        <v>262</v>
      </c>
      <c r="B218" s="8" t="n">
        <v>45993</v>
      </c>
      <c r="C218" s="7" t="s">
        <v>13</v>
      </c>
      <c r="D218" s="7" t="str">
        <f aca="false">INDEX('Price Lookup'!$B$2:$B$19,MATCH(C218,'Price Lookup'!$A$2:$A$19,0))</f>
        <v>Stationery</v>
      </c>
      <c r="E218" s="7" t="n">
        <f aca="false">INDEX('Price Lookup'!$C$2:$C$19,MATCH(C218,'Price Lookup'!$A$2:$A$19,0))</f>
        <v>60</v>
      </c>
      <c r="F218" s="7" t="n">
        <v>8</v>
      </c>
      <c r="G218" s="9" t="n">
        <f aca="false">E218*F218</f>
        <v>480</v>
      </c>
      <c r="H218" s="7" t="s">
        <v>47</v>
      </c>
      <c r="I218" s="7" t="s">
        <v>50</v>
      </c>
    </row>
    <row r="219" customFormat="false" ht="15" hidden="false" customHeight="false" outlineLevel="0" collapsed="false">
      <c r="A219" s="7" t="s">
        <v>263</v>
      </c>
      <c r="B219" s="8" t="n">
        <v>45674</v>
      </c>
      <c r="C219" s="7" t="s">
        <v>24</v>
      </c>
      <c r="D219" s="7" t="str">
        <f aca="false">INDEX('Price Lookup'!$B$2:$B$19,MATCH(C219,'Price Lookup'!$A$2:$A$19,0))</f>
        <v>Home &amp; Kitchen</v>
      </c>
      <c r="E219" s="7" t="n">
        <f aca="false">INDEX('Price Lookup'!$C$2:$C$19,MATCH(C219,'Price Lookup'!$A$2:$A$19,0))</f>
        <v>899</v>
      </c>
      <c r="F219" s="7" t="n">
        <v>4</v>
      </c>
      <c r="G219" s="9" t="n">
        <f aca="false">E219*F219</f>
        <v>3596</v>
      </c>
      <c r="H219" s="7" t="s">
        <v>47</v>
      </c>
      <c r="I219" s="7" t="s">
        <v>43</v>
      </c>
    </row>
    <row r="220" customFormat="false" ht="15" hidden="false" customHeight="false" outlineLevel="0" collapsed="false">
      <c r="A220" s="7" t="s">
        <v>264</v>
      </c>
      <c r="B220" s="8" t="n">
        <v>45778</v>
      </c>
      <c r="C220" s="7" t="s">
        <v>24</v>
      </c>
      <c r="D220" s="7" t="str">
        <f aca="false">INDEX('Price Lookup'!$B$2:$B$19,MATCH(C220,'Price Lookup'!$A$2:$A$19,0))</f>
        <v>Home &amp; Kitchen</v>
      </c>
      <c r="E220" s="7" t="n">
        <f aca="false">INDEX('Price Lookup'!$C$2:$C$19,MATCH(C220,'Price Lookup'!$A$2:$A$19,0))</f>
        <v>899</v>
      </c>
      <c r="F220" s="7" t="n">
        <v>2</v>
      </c>
      <c r="G220" s="9" t="n">
        <f aca="false">E220*F220</f>
        <v>1798</v>
      </c>
      <c r="H220" s="7" t="s">
        <v>39</v>
      </c>
      <c r="I220" s="7" t="s">
        <v>50</v>
      </c>
    </row>
    <row r="221" customFormat="false" ht="15" hidden="false" customHeight="false" outlineLevel="0" collapsed="false">
      <c r="A221" s="7" t="s">
        <v>265</v>
      </c>
      <c r="B221" s="8" t="n">
        <v>45689</v>
      </c>
      <c r="C221" s="7" t="s">
        <v>25</v>
      </c>
      <c r="D221" s="7" t="str">
        <f aca="false">INDEX('Price Lookup'!$B$2:$B$19,MATCH(C221,'Price Lookup'!$A$2:$A$19,0))</f>
        <v>Apparel</v>
      </c>
      <c r="E221" s="7" t="n">
        <f aca="false">INDEX('Price Lookup'!$C$2:$C$19,MATCH(C221,'Price Lookup'!$A$2:$A$19,0))</f>
        <v>499</v>
      </c>
      <c r="F221" s="7" t="n">
        <v>5</v>
      </c>
      <c r="G221" s="9" t="n">
        <f aca="false">E221*F221</f>
        <v>2495</v>
      </c>
      <c r="H221" s="7" t="s">
        <v>45</v>
      </c>
      <c r="I221" s="7" t="s">
        <v>53</v>
      </c>
    </row>
    <row r="222" customFormat="false" ht="15" hidden="false" customHeight="false" outlineLevel="0" collapsed="false">
      <c r="A222" s="7" t="s">
        <v>266</v>
      </c>
      <c r="B222" s="8" t="n">
        <v>45890</v>
      </c>
      <c r="C222" s="7" t="s">
        <v>12</v>
      </c>
      <c r="D222" s="7" t="str">
        <f aca="false">INDEX('Price Lookup'!$B$2:$B$19,MATCH(C222,'Price Lookup'!$A$2:$A$19,0))</f>
        <v>Electronics</v>
      </c>
      <c r="E222" s="7" t="n">
        <f aca="false">INDEX('Price Lookup'!$C$2:$C$19,MATCH(C222,'Price Lookup'!$A$2:$A$19,0))</f>
        <v>149</v>
      </c>
      <c r="F222" s="7" t="n">
        <v>4</v>
      </c>
      <c r="G222" s="9" t="n">
        <f aca="false">E222*F222</f>
        <v>596</v>
      </c>
      <c r="H222" s="7" t="s">
        <v>42</v>
      </c>
      <c r="I222" s="7" t="s">
        <v>53</v>
      </c>
    </row>
    <row r="223" customFormat="false" ht="15" hidden="false" customHeight="false" outlineLevel="0" collapsed="false">
      <c r="A223" s="7" t="s">
        <v>267</v>
      </c>
      <c r="B223" s="8" t="n">
        <v>45828</v>
      </c>
      <c r="C223" s="7" t="s">
        <v>19</v>
      </c>
      <c r="D223" s="7" t="str">
        <f aca="false">INDEX('Price Lookup'!$B$2:$B$19,MATCH(C223,'Price Lookup'!$A$2:$A$19,0))</f>
        <v>Furniture</v>
      </c>
      <c r="E223" s="7" t="n">
        <f aca="false">INDEX('Price Lookup'!$C$2:$C$19,MATCH(C223,'Price Lookup'!$A$2:$A$19,0))</f>
        <v>2999</v>
      </c>
      <c r="F223" s="7" t="n">
        <v>3</v>
      </c>
      <c r="G223" s="9" t="n">
        <f aca="false">E223*F223</f>
        <v>8997</v>
      </c>
      <c r="H223" s="7" t="s">
        <v>45</v>
      </c>
      <c r="I223" s="7" t="s">
        <v>53</v>
      </c>
    </row>
    <row r="224" customFormat="false" ht="15" hidden="false" customHeight="false" outlineLevel="0" collapsed="false">
      <c r="A224" s="7" t="s">
        <v>268</v>
      </c>
      <c r="B224" s="8" t="n">
        <v>45941</v>
      </c>
      <c r="C224" s="7" t="s">
        <v>17</v>
      </c>
      <c r="D224" s="7" t="str">
        <f aca="false">INDEX('Price Lookup'!$B$2:$B$19,MATCH(C224,'Price Lookup'!$A$2:$A$19,0))</f>
        <v>Furniture</v>
      </c>
      <c r="E224" s="7" t="n">
        <f aca="false">INDEX('Price Lookup'!$C$2:$C$19,MATCH(C224,'Price Lookup'!$A$2:$A$19,0))</f>
        <v>3499</v>
      </c>
      <c r="F224" s="7" t="n">
        <v>4</v>
      </c>
      <c r="G224" s="9" t="n">
        <f aca="false">E224*F224</f>
        <v>13996</v>
      </c>
      <c r="H224" s="7" t="s">
        <v>45</v>
      </c>
      <c r="I224" s="7" t="s">
        <v>50</v>
      </c>
    </row>
    <row r="225" customFormat="false" ht="15" hidden="false" customHeight="false" outlineLevel="0" collapsed="false">
      <c r="A225" s="7" t="s">
        <v>269</v>
      </c>
      <c r="B225" s="8" t="n">
        <v>45733</v>
      </c>
      <c r="C225" s="7" t="s">
        <v>9</v>
      </c>
      <c r="D225" s="7" t="str">
        <f aca="false">INDEX('Price Lookup'!$B$2:$B$19,MATCH(C225,'Price Lookup'!$A$2:$A$19,0))</f>
        <v>Electronics</v>
      </c>
      <c r="E225" s="7" t="n">
        <f aca="false">INDEX('Price Lookup'!$C$2:$C$19,MATCH(C225,'Price Lookup'!$A$2:$A$19,0))</f>
        <v>599</v>
      </c>
      <c r="F225" s="7" t="n">
        <v>5</v>
      </c>
      <c r="G225" s="9" t="n">
        <f aca="false">E225*F225</f>
        <v>2995</v>
      </c>
      <c r="H225" s="7" t="s">
        <v>45</v>
      </c>
      <c r="I225" s="7" t="s">
        <v>40</v>
      </c>
    </row>
    <row r="226" customFormat="false" ht="15" hidden="false" customHeight="false" outlineLevel="0" collapsed="false">
      <c r="A226" s="7" t="s">
        <v>270</v>
      </c>
      <c r="B226" s="8" t="n">
        <v>45934</v>
      </c>
      <c r="C226" s="7" t="s">
        <v>20</v>
      </c>
      <c r="D226" s="7" t="str">
        <f aca="false">INDEX('Price Lookup'!$B$2:$B$19,MATCH(C226,'Price Lookup'!$A$2:$A$19,0))</f>
        <v>Furniture</v>
      </c>
      <c r="E226" s="7" t="n">
        <f aca="false">INDEX('Price Lookup'!$C$2:$C$19,MATCH(C226,'Price Lookup'!$A$2:$A$19,0))</f>
        <v>799</v>
      </c>
      <c r="F226" s="7" t="n">
        <v>3</v>
      </c>
      <c r="G226" s="9" t="n">
        <f aca="false">E226*F226</f>
        <v>2397</v>
      </c>
      <c r="H226" s="7" t="s">
        <v>42</v>
      </c>
      <c r="I226" s="7" t="s">
        <v>53</v>
      </c>
    </row>
    <row r="227" customFormat="false" ht="15" hidden="false" customHeight="false" outlineLevel="0" collapsed="false">
      <c r="A227" s="7" t="s">
        <v>271</v>
      </c>
      <c r="B227" s="8" t="n">
        <v>45725</v>
      </c>
      <c r="C227" s="7" t="s">
        <v>9</v>
      </c>
      <c r="D227" s="7" t="str">
        <f aca="false">INDEX('Price Lookup'!$B$2:$B$19,MATCH(C227,'Price Lookup'!$A$2:$A$19,0))</f>
        <v>Electronics</v>
      </c>
      <c r="E227" s="7" t="n">
        <f aca="false">INDEX('Price Lookup'!$C$2:$C$19,MATCH(C227,'Price Lookup'!$A$2:$A$19,0))</f>
        <v>599</v>
      </c>
      <c r="F227" s="7" t="n">
        <v>6</v>
      </c>
      <c r="G227" s="9" t="n">
        <f aca="false">E227*F227</f>
        <v>3594</v>
      </c>
      <c r="H227" s="7" t="s">
        <v>45</v>
      </c>
      <c r="I227" s="7" t="s">
        <v>50</v>
      </c>
    </row>
    <row r="228" customFormat="false" ht="15" hidden="false" customHeight="false" outlineLevel="0" collapsed="false">
      <c r="A228" s="7" t="s">
        <v>272</v>
      </c>
      <c r="B228" s="8" t="n">
        <v>45666</v>
      </c>
      <c r="C228" s="7" t="s">
        <v>16</v>
      </c>
      <c r="D228" s="7" t="str">
        <f aca="false">INDEX('Price Lookup'!$B$2:$B$19,MATCH(C228,'Price Lookup'!$A$2:$A$19,0))</f>
        <v>Stationery</v>
      </c>
      <c r="E228" s="7" t="n">
        <f aca="false">INDEX('Price Lookup'!$C$2:$C$19,MATCH(C228,'Price Lookup'!$A$2:$A$19,0))</f>
        <v>90</v>
      </c>
      <c r="F228" s="7" t="n">
        <v>5</v>
      </c>
      <c r="G228" s="9" t="n">
        <f aca="false">E228*F228</f>
        <v>450</v>
      </c>
      <c r="H228" s="7" t="s">
        <v>42</v>
      </c>
      <c r="I228" s="7" t="s">
        <v>40</v>
      </c>
    </row>
    <row r="229" customFormat="false" ht="15" hidden="false" customHeight="false" outlineLevel="0" collapsed="false">
      <c r="A229" s="7" t="s">
        <v>273</v>
      </c>
      <c r="B229" s="8" t="n">
        <v>45873</v>
      </c>
      <c r="C229" s="7" t="s">
        <v>31</v>
      </c>
      <c r="D229" s="7" t="str">
        <f aca="false">INDEX('Price Lookup'!$B$2:$B$19,MATCH(C229,'Price Lookup'!$A$2:$A$19,0))</f>
        <v>Personal Care</v>
      </c>
      <c r="E229" s="7" t="n">
        <f aca="false">INDEX('Price Lookup'!$C$2:$C$19,MATCH(C229,'Price Lookup'!$A$2:$A$19,0))</f>
        <v>220</v>
      </c>
      <c r="F229" s="7" t="n">
        <v>2</v>
      </c>
      <c r="G229" s="9" t="n">
        <f aca="false">E229*F229</f>
        <v>440</v>
      </c>
      <c r="H229" s="7" t="s">
        <v>42</v>
      </c>
      <c r="I229" s="7" t="s">
        <v>43</v>
      </c>
    </row>
    <row r="230" customFormat="false" ht="15" hidden="false" customHeight="false" outlineLevel="0" collapsed="false">
      <c r="A230" s="7" t="s">
        <v>274</v>
      </c>
      <c r="B230" s="8" t="n">
        <v>45887</v>
      </c>
      <c r="C230" s="7" t="s">
        <v>24</v>
      </c>
      <c r="D230" s="7" t="str">
        <f aca="false">INDEX('Price Lookup'!$B$2:$B$19,MATCH(C230,'Price Lookup'!$A$2:$A$19,0))</f>
        <v>Home &amp; Kitchen</v>
      </c>
      <c r="E230" s="7" t="n">
        <f aca="false">INDEX('Price Lookup'!$C$2:$C$19,MATCH(C230,'Price Lookup'!$A$2:$A$19,0))</f>
        <v>899</v>
      </c>
      <c r="F230" s="7" t="n">
        <v>2</v>
      </c>
      <c r="G230" s="9" t="n">
        <f aca="false">E230*F230</f>
        <v>1798</v>
      </c>
      <c r="H230" s="7" t="s">
        <v>47</v>
      </c>
      <c r="I230" s="7" t="s">
        <v>40</v>
      </c>
    </row>
    <row r="231" customFormat="false" ht="15" hidden="false" customHeight="false" outlineLevel="0" collapsed="false">
      <c r="A231" s="7" t="s">
        <v>275</v>
      </c>
      <c r="B231" s="8" t="n">
        <v>45972</v>
      </c>
      <c r="C231" s="7" t="s">
        <v>11</v>
      </c>
      <c r="D231" s="7" t="str">
        <f aca="false">INDEX('Price Lookup'!$B$2:$B$19,MATCH(C231,'Price Lookup'!$A$2:$A$19,0))</f>
        <v>Electronics</v>
      </c>
      <c r="E231" s="7" t="n">
        <f aca="false">INDEX('Price Lookup'!$C$2:$C$19,MATCH(C231,'Price Lookup'!$A$2:$A$19,0))</f>
        <v>1499</v>
      </c>
      <c r="F231" s="7" t="n">
        <v>5</v>
      </c>
      <c r="G231" s="9" t="n">
        <f aca="false">E231*F231</f>
        <v>7495</v>
      </c>
      <c r="H231" s="7" t="s">
        <v>47</v>
      </c>
      <c r="I231" s="7" t="s">
        <v>53</v>
      </c>
    </row>
    <row r="232" customFormat="false" ht="15" hidden="false" customHeight="false" outlineLevel="0" collapsed="false">
      <c r="A232" s="7" t="s">
        <v>276</v>
      </c>
      <c r="B232" s="8" t="n">
        <v>45689</v>
      </c>
      <c r="C232" s="7" t="s">
        <v>29</v>
      </c>
      <c r="D232" s="7" t="str">
        <f aca="false">INDEX('Price Lookup'!$B$2:$B$19,MATCH(C232,'Price Lookup'!$A$2:$A$19,0))</f>
        <v>Personal Care</v>
      </c>
      <c r="E232" s="7" t="n">
        <f aca="false">INDEX('Price Lookup'!$C$2:$C$19,MATCH(C232,'Price Lookup'!$A$2:$A$19,0))</f>
        <v>179</v>
      </c>
      <c r="F232" s="7" t="n">
        <v>7</v>
      </c>
      <c r="G232" s="9" t="n">
        <f aca="false">E232*F232</f>
        <v>1253</v>
      </c>
      <c r="H232" s="7" t="s">
        <v>47</v>
      </c>
      <c r="I232" s="7" t="s">
        <v>53</v>
      </c>
    </row>
    <row r="233" customFormat="false" ht="15" hidden="false" customHeight="false" outlineLevel="0" collapsed="false">
      <c r="A233" s="7" t="s">
        <v>277</v>
      </c>
      <c r="B233" s="8" t="n">
        <v>45909</v>
      </c>
      <c r="C233" s="7" t="s">
        <v>28</v>
      </c>
      <c r="D233" s="7" t="str">
        <f aca="false">INDEX('Price Lookup'!$B$2:$B$19,MATCH(C233,'Price Lookup'!$A$2:$A$19,0))</f>
        <v>Apparel</v>
      </c>
      <c r="E233" s="7" t="n">
        <f aca="false">INDEX('Price Lookup'!$C$2:$C$19,MATCH(C233,'Price Lookup'!$A$2:$A$19,0))</f>
        <v>249</v>
      </c>
      <c r="F233" s="7" t="n">
        <v>2</v>
      </c>
      <c r="G233" s="9" t="n">
        <f aca="false">E233*F233</f>
        <v>498</v>
      </c>
      <c r="H233" s="7" t="s">
        <v>42</v>
      </c>
      <c r="I233" s="7" t="s">
        <v>50</v>
      </c>
    </row>
    <row r="234" customFormat="false" ht="15" hidden="false" customHeight="false" outlineLevel="0" collapsed="false">
      <c r="A234" s="7" t="s">
        <v>278</v>
      </c>
      <c r="B234" s="8" t="n">
        <v>45969</v>
      </c>
      <c r="C234" s="7" t="s">
        <v>15</v>
      </c>
      <c r="D234" s="7" t="str">
        <f aca="false">INDEX('Price Lookup'!$B$2:$B$19,MATCH(C234,'Price Lookup'!$A$2:$A$19,0))</f>
        <v>Stationery</v>
      </c>
      <c r="E234" s="7" t="n">
        <f aca="false">INDEX('Price Lookup'!$C$2:$C$19,MATCH(C234,'Price Lookup'!$A$2:$A$19,0))</f>
        <v>40</v>
      </c>
      <c r="F234" s="7" t="n">
        <v>2</v>
      </c>
      <c r="G234" s="9" t="n">
        <f aca="false">E234*F234</f>
        <v>80</v>
      </c>
      <c r="H234" s="7" t="s">
        <v>45</v>
      </c>
      <c r="I234" s="7" t="s">
        <v>50</v>
      </c>
    </row>
    <row r="235" customFormat="false" ht="15" hidden="false" customHeight="false" outlineLevel="0" collapsed="false">
      <c r="A235" s="7" t="s">
        <v>279</v>
      </c>
      <c r="B235" s="8" t="n">
        <v>45977</v>
      </c>
      <c r="C235" s="7" t="s">
        <v>32</v>
      </c>
      <c r="D235" s="7" t="str">
        <f aca="false">INDEX('Price Lookup'!$B$2:$B$19,MATCH(C235,'Price Lookup'!$A$2:$A$19,0))</f>
        <v>Personal Care</v>
      </c>
      <c r="E235" s="7" t="n">
        <f aca="false">INDEX('Price Lookup'!$C$2:$C$19,MATCH(C235,'Price Lookup'!$A$2:$A$19,0))</f>
        <v>99</v>
      </c>
      <c r="F235" s="7" t="n">
        <v>6</v>
      </c>
      <c r="G235" s="9" t="n">
        <f aca="false">E235*F235</f>
        <v>594</v>
      </c>
      <c r="H235" s="7" t="s">
        <v>47</v>
      </c>
      <c r="I235" s="7" t="s">
        <v>50</v>
      </c>
    </row>
    <row r="236" customFormat="false" ht="15" hidden="false" customHeight="false" outlineLevel="0" collapsed="false">
      <c r="A236" s="7" t="s">
        <v>280</v>
      </c>
      <c r="B236" s="8" t="n">
        <v>45890</v>
      </c>
      <c r="C236" s="7" t="s">
        <v>31</v>
      </c>
      <c r="D236" s="7" t="str">
        <f aca="false">INDEX('Price Lookup'!$B$2:$B$19,MATCH(C236,'Price Lookup'!$A$2:$A$19,0))</f>
        <v>Personal Care</v>
      </c>
      <c r="E236" s="7" t="n">
        <f aca="false">INDEX('Price Lookup'!$C$2:$C$19,MATCH(C236,'Price Lookup'!$A$2:$A$19,0))</f>
        <v>220</v>
      </c>
      <c r="F236" s="7" t="n">
        <v>7</v>
      </c>
      <c r="G236" s="9" t="n">
        <f aca="false">E236*F236</f>
        <v>1540</v>
      </c>
      <c r="H236" s="7" t="s">
        <v>42</v>
      </c>
      <c r="I236" s="7" t="s">
        <v>53</v>
      </c>
    </row>
    <row r="237" customFormat="false" ht="15" hidden="false" customHeight="false" outlineLevel="0" collapsed="false">
      <c r="A237" s="7" t="s">
        <v>281</v>
      </c>
      <c r="B237" s="8" t="n">
        <v>45993</v>
      </c>
      <c r="C237" s="7" t="s">
        <v>32</v>
      </c>
      <c r="D237" s="7" t="str">
        <f aca="false">INDEX('Price Lookup'!$B$2:$B$19,MATCH(C237,'Price Lookup'!$A$2:$A$19,0))</f>
        <v>Personal Care</v>
      </c>
      <c r="E237" s="7" t="n">
        <f aca="false">INDEX('Price Lookup'!$C$2:$C$19,MATCH(C237,'Price Lookup'!$A$2:$A$19,0))</f>
        <v>99</v>
      </c>
      <c r="F237" s="7" t="n">
        <v>4</v>
      </c>
      <c r="G237" s="9" t="n">
        <f aca="false">E237*F237</f>
        <v>396</v>
      </c>
      <c r="H237" s="7" t="s">
        <v>47</v>
      </c>
      <c r="I237" s="7" t="s">
        <v>43</v>
      </c>
    </row>
    <row r="238" customFormat="false" ht="15" hidden="false" customHeight="false" outlineLevel="0" collapsed="false">
      <c r="A238" s="7" t="s">
        <v>282</v>
      </c>
      <c r="B238" s="8" t="n">
        <v>45774</v>
      </c>
      <c r="C238" s="7" t="s">
        <v>27</v>
      </c>
      <c r="D238" s="7" t="str">
        <f aca="false">INDEX('Price Lookup'!$B$2:$B$19,MATCH(C238,'Price Lookup'!$A$2:$A$19,0))</f>
        <v>Apparel</v>
      </c>
      <c r="E238" s="7" t="n">
        <f aca="false">INDEX('Price Lookup'!$C$2:$C$19,MATCH(C238,'Price Lookup'!$A$2:$A$19,0))</f>
        <v>1299</v>
      </c>
      <c r="F238" s="7" t="n">
        <v>6</v>
      </c>
      <c r="G238" s="9" t="n">
        <f aca="false">E238*F238</f>
        <v>7794</v>
      </c>
      <c r="H238" s="7" t="s">
        <v>47</v>
      </c>
      <c r="I238" s="7" t="s">
        <v>43</v>
      </c>
    </row>
    <row r="239" customFormat="false" ht="15" hidden="false" customHeight="false" outlineLevel="0" collapsed="false">
      <c r="A239" s="7" t="s">
        <v>283</v>
      </c>
      <c r="B239" s="8" t="n">
        <v>45870</v>
      </c>
      <c r="C239" s="7" t="s">
        <v>13</v>
      </c>
      <c r="D239" s="7" t="str">
        <f aca="false">INDEX('Price Lookup'!$B$2:$B$19,MATCH(C239,'Price Lookup'!$A$2:$A$19,0))</f>
        <v>Stationery</v>
      </c>
      <c r="E239" s="7" t="n">
        <f aca="false">INDEX('Price Lookup'!$C$2:$C$19,MATCH(C239,'Price Lookup'!$A$2:$A$19,0))</f>
        <v>60</v>
      </c>
      <c r="F239" s="7" t="n">
        <v>6</v>
      </c>
      <c r="G239" s="9" t="n">
        <f aca="false">E239*F239</f>
        <v>360</v>
      </c>
      <c r="H239" s="7" t="s">
        <v>47</v>
      </c>
      <c r="I239" s="7" t="s">
        <v>50</v>
      </c>
    </row>
    <row r="240" customFormat="false" ht="15" hidden="false" customHeight="false" outlineLevel="0" collapsed="false">
      <c r="A240" s="7" t="s">
        <v>284</v>
      </c>
      <c r="B240" s="8" t="n">
        <v>45998</v>
      </c>
      <c r="C240" s="7" t="s">
        <v>20</v>
      </c>
      <c r="D240" s="7" t="str">
        <f aca="false">INDEX('Price Lookup'!$B$2:$B$19,MATCH(C240,'Price Lookup'!$A$2:$A$19,0))</f>
        <v>Furniture</v>
      </c>
      <c r="E240" s="7" t="n">
        <f aca="false">INDEX('Price Lookup'!$C$2:$C$19,MATCH(C240,'Price Lookup'!$A$2:$A$19,0))</f>
        <v>799</v>
      </c>
      <c r="F240" s="7" t="n">
        <v>6</v>
      </c>
      <c r="G240" s="9" t="n">
        <f aca="false">E240*F240</f>
        <v>4794</v>
      </c>
      <c r="H240" s="7" t="s">
        <v>45</v>
      </c>
      <c r="I240" s="7" t="s">
        <v>43</v>
      </c>
    </row>
    <row r="241" customFormat="false" ht="15" hidden="false" customHeight="false" outlineLevel="0" collapsed="false">
      <c r="A241" s="7" t="s">
        <v>285</v>
      </c>
      <c r="B241" s="8" t="n">
        <v>45692</v>
      </c>
      <c r="C241" s="7" t="s">
        <v>12</v>
      </c>
      <c r="D241" s="7" t="str">
        <f aca="false">INDEX('Price Lookup'!$B$2:$B$19,MATCH(C241,'Price Lookup'!$A$2:$A$19,0))</f>
        <v>Electronics</v>
      </c>
      <c r="E241" s="7" t="n">
        <f aca="false">INDEX('Price Lookup'!$C$2:$C$19,MATCH(C241,'Price Lookup'!$A$2:$A$19,0))</f>
        <v>149</v>
      </c>
      <c r="F241" s="7" t="n">
        <v>2</v>
      </c>
      <c r="G241" s="9" t="n">
        <f aca="false">E241*F241</f>
        <v>298</v>
      </c>
      <c r="H241" s="7" t="s">
        <v>42</v>
      </c>
      <c r="I241" s="7" t="s">
        <v>43</v>
      </c>
    </row>
    <row r="242" customFormat="false" ht="15" hidden="false" customHeight="false" outlineLevel="0" collapsed="false">
      <c r="A242" s="7" t="s">
        <v>286</v>
      </c>
      <c r="B242" s="8" t="n">
        <v>45707</v>
      </c>
      <c r="C242" s="7" t="s">
        <v>24</v>
      </c>
      <c r="D242" s="7" t="str">
        <f aca="false">INDEX('Price Lookup'!$B$2:$B$19,MATCH(C242,'Price Lookup'!$A$2:$A$19,0))</f>
        <v>Home &amp; Kitchen</v>
      </c>
      <c r="E242" s="7" t="n">
        <f aca="false">INDEX('Price Lookup'!$C$2:$C$19,MATCH(C242,'Price Lookup'!$A$2:$A$19,0))</f>
        <v>899</v>
      </c>
      <c r="F242" s="7" t="n">
        <v>3</v>
      </c>
      <c r="G242" s="9" t="n">
        <f aca="false">E242*F242</f>
        <v>2697</v>
      </c>
      <c r="H242" s="7" t="s">
        <v>42</v>
      </c>
      <c r="I242" s="7" t="s">
        <v>50</v>
      </c>
    </row>
    <row r="243" customFormat="false" ht="15" hidden="false" customHeight="false" outlineLevel="0" collapsed="false">
      <c r="A243" s="7" t="s">
        <v>287</v>
      </c>
      <c r="B243" s="8" t="n">
        <v>46001</v>
      </c>
      <c r="C243" s="7" t="s">
        <v>13</v>
      </c>
      <c r="D243" s="7" t="str">
        <f aca="false">INDEX('Price Lookup'!$B$2:$B$19,MATCH(C243,'Price Lookup'!$A$2:$A$19,0))</f>
        <v>Stationery</v>
      </c>
      <c r="E243" s="7" t="n">
        <f aca="false">INDEX('Price Lookup'!$C$2:$C$19,MATCH(C243,'Price Lookup'!$A$2:$A$19,0))</f>
        <v>60</v>
      </c>
      <c r="F243" s="7" t="n">
        <v>7</v>
      </c>
      <c r="G243" s="9" t="n">
        <f aca="false">E243*F243</f>
        <v>420</v>
      </c>
      <c r="H243" s="7" t="s">
        <v>39</v>
      </c>
      <c r="I243" s="7" t="s">
        <v>43</v>
      </c>
    </row>
    <row r="244" customFormat="false" ht="15" hidden="false" customHeight="false" outlineLevel="0" collapsed="false">
      <c r="A244" s="7" t="s">
        <v>288</v>
      </c>
      <c r="B244" s="8" t="n">
        <v>45684</v>
      </c>
      <c r="C244" s="7" t="s">
        <v>21</v>
      </c>
      <c r="D244" s="7" t="str">
        <f aca="false">INDEX('Price Lookup'!$B$2:$B$19,MATCH(C244,'Price Lookup'!$A$2:$A$19,0))</f>
        <v>Home &amp; Kitchen</v>
      </c>
      <c r="E244" s="7" t="n">
        <f aca="false">INDEX('Price Lookup'!$C$2:$C$19,MATCH(C244,'Price Lookup'!$A$2:$A$19,0))</f>
        <v>199</v>
      </c>
      <c r="F244" s="7" t="n">
        <v>5</v>
      </c>
      <c r="G244" s="9" t="n">
        <f aca="false">E244*F244</f>
        <v>995</v>
      </c>
      <c r="H244" s="7" t="s">
        <v>39</v>
      </c>
      <c r="I244" s="7" t="s">
        <v>53</v>
      </c>
    </row>
    <row r="245" customFormat="false" ht="15" hidden="false" customHeight="false" outlineLevel="0" collapsed="false">
      <c r="A245" s="7" t="s">
        <v>289</v>
      </c>
      <c r="B245" s="8" t="n">
        <v>45953</v>
      </c>
      <c r="C245" s="7" t="s">
        <v>31</v>
      </c>
      <c r="D245" s="7" t="str">
        <f aca="false">INDEX('Price Lookup'!$B$2:$B$19,MATCH(C245,'Price Lookup'!$A$2:$A$19,0))</f>
        <v>Personal Care</v>
      </c>
      <c r="E245" s="7" t="n">
        <f aca="false">INDEX('Price Lookup'!$C$2:$C$19,MATCH(C245,'Price Lookup'!$A$2:$A$19,0))</f>
        <v>220</v>
      </c>
      <c r="F245" s="7" t="n">
        <v>4</v>
      </c>
      <c r="G245" s="9" t="n">
        <f aca="false">E245*F245</f>
        <v>880</v>
      </c>
      <c r="H245" s="7" t="s">
        <v>45</v>
      </c>
      <c r="I245" s="7" t="s">
        <v>43</v>
      </c>
    </row>
    <row r="246" customFormat="false" ht="15" hidden="false" customHeight="false" outlineLevel="0" collapsed="false">
      <c r="A246" s="7" t="s">
        <v>290</v>
      </c>
      <c r="B246" s="8" t="n">
        <v>45772</v>
      </c>
      <c r="C246" s="7" t="s">
        <v>13</v>
      </c>
      <c r="D246" s="7" t="str">
        <f aca="false">INDEX('Price Lookup'!$B$2:$B$19,MATCH(C246,'Price Lookup'!$A$2:$A$19,0))</f>
        <v>Stationery</v>
      </c>
      <c r="E246" s="7" t="n">
        <f aca="false">INDEX('Price Lookup'!$C$2:$C$19,MATCH(C246,'Price Lookup'!$A$2:$A$19,0))</f>
        <v>60</v>
      </c>
      <c r="F246" s="7" t="n">
        <v>6</v>
      </c>
      <c r="G246" s="9" t="n">
        <f aca="false">E246*F246</f>
        <v>360</v>
      </c>
      <c r="H246" s="7" t="s">
        <v>39</v>
      </c>
      <c r="I246" s="7" t="s">
        <v>53</v>
      </c>
    </row>
    <row r="247" customFormat="false" ht="15" hidden="false" customHeight="false" outlineLevel="0" collapsed="false">
      <c r="A247" s="7" t="s">
        <v>291</v>
      </c>
      <c r="B247" s="8" t="n">
        <v>45800</v>
      </c>
      <c r="C247" s="7" t="s">
        <v>19</v>
      </c>
      <c r="D247" s="7" t="str">
        <f aca="false">INDEX('Price Lookup'!$B$2:$B$19,MATCH(C247,'Price Lookup'!$A$2:$A$19,0))</f>
        <v>Furniture</v>
      </c>
      <c r="E247" s="7" t="n">
        <f aca="false">INDEX('Price Lookup'!$C$2:$C$19,MATCH(C247,'Price Lookup'!$A$2:$A$19,0))</f>
        <v>2999</v>
      </c>
      <c r="F247" s="7" t="n">
        <v>7</v>
      </c>
      <c r="G247" s="9" t="n">
        <f aca="false">E247*F247</f>
        <v>20993</v>
      </c>
      <c r="H247" s="7" t="s">
        <v>42</v>
      </c>
      <c r="I247" s="7" t="s">
        <v>50</v>
      </c>
    </row>
    <row r="248" customFormat="false" ht="15" hidden="false" customHeight="false" outlineLevel="0" collapsed="false">
      <c r="A248" s="7" t="s">
        <v>292</v>
      </c>
      <c r="B248" s="8" t="n">
        <v>45672</v>
      </c>
      <c r="C248" s="7" t="s">
        <v>16</v>
      </c>
      <c r="D248" s="7" t="str">
        <f aca="false">INDEX('Price Lookup'!$B$2:$B$19,MATCH(C248,'Price Lookup'!$A$2:$A$19,0))</f>
        <v>Stationery</v>
      </c>
      <c r="E248" s="7" t="n">
        <f aca="false">INDEX('Price Lookup'!$C$2:$C$19,MATCH(C248,'Price Lookup'!$A$2:$A$19,0))</f>
        <v>90</v>
      </c>
      <c r="F248" s="7" t="n">
        <v>5</v>
      </c>
      <c r="G248" s="9" t="n">
        <f aca="false">E248*F248</f>
        <v>450</v>
      </c>
      <c r="H248" s="7" t="s">
        <v>39</v>
      </c>
      <c r="I248" s="7" t="s">
        <v>50</v>
      </c>
    </row>
    <row r="249" customFormat="false" ht="15" hidden="false" customHeight="false" outlineLevel="0" collapsed="false">
      <c r="A249" s="7" t="s">
        <v>293</v>
      </c>
      <c r="B249" s="8" t="n">
        <v>45837</v>
      </c>
      <c r="C249" s="7" t="s">
        <v>9</v>
      </c>
      <c r="D249" s="7" t="str">
        <f aca="false">INDEX('Price Lookup'!$B$2:$B$19,MATCH(C249,'Price Lookup'!$A$2:$A$19,0))</f>
        <v>Electronics</v>
      </c>
      <c r="E249" s="7" t="n">
        <f aca="false">INDEX('Price Lookup'!$C$2:$C$19,MATCH(C249,'Price Lookup'!$A$2:$A$19,0))</f>
        <v>599</v>
      </c>
      <c r="F249" s="7" t="n">
        <v>3</v>
      </c>
      <c r="G249" s="9" t="n">
        <f aca="false">E249*F249</f>
        <v>1797</v>
      </c>
      <c r="H249" s="7" t="s">
        <v>45</v>
      </c>
      <c r="I249" s="7" t="s">
        <v>43</v>
      </c>
    </row>
    <row r="250" customFormat="false" ht="15" hidden="false" customHeight="false" outlineLevel="0" collapsed="false">
      <c r="A250" s="7" t="s">
        <v>294</v>
      </c>
      <c r="B250" s="8" t="n">
        <v>45693</v>
      </c>
      <c r="C250" s="7" t="s">
        <v>15</v>
      </c>
      <c r="D250" s="7" t="str">
        <f aca="false">INDEX('Price Lookup'!$B$2:$B$19,MATCH(C250,'Price Lookup'!$A$2:$A$19,0))</f>
        <v>Stationery</v>
      </c>
      <c r="E250" s="7" t="n">
        <f aca="false">INDEX('Price Lookup'!$C$2:$C$19,MATCH(C250,'Price Lookup'!$A$2:$A$19,0))</f>
        <v>40</v>
      </c>
      <c r="F250" s="7" t="n">
        <v>1</v>
      </c>
      <c r="G250" s="9" t="n">
        <f aca="false">E250*F250</f>
        <v>40</v>
      </c>
      <c r="H250" s="7" t="s">
        <v>42</v>
      </c>
      <c r="I250" s="7" t="s">
        <v>40</v>
      </c>
    </row>
    <row r="251" customFormat="false" ht="15" hidden="false" customHeight="false" outlineLevel="0" collapsed="false">
      <c r="A251" s="7" t="s">
        <v>295</v>
      </c>
      <c r="B251" s="8" t="n">
        <v>45850</v>
      </c>
      <c r="C251" s="7" t="s">
        <v>27</v>
      </c>
      <c r="D251" s="7" t="str">
        <f aca="false">INDEX('Price Lookup'!$B$2:$B$19,MATCH(C251,'Price Lookup'!$A$2:$A$19,0))</f>
        <v>Apparel</v>
      </c>
      <c r="E251" s="7" t="n">
        <f aca="false">INDEX('Price Lookup'!$C$2:$C$19,MATCH(C251,'Price Lookup'!$A$2:$A$19,0))</f>
        <v>1299</v>
      </c>
      <c r="F251" s="7" t="n">
        <v>8</v>
      </c>
      <c r="G251" s="9" t="n">
        <f aca="false">E251*F251</f>
        <v>10392</v>
      </c>
      <c r="H251" s="7" t="s">
        <v>39</v>
      </c>
      <c r="I251" s="7" t="s">
        <v>40</v>
      </c>
    </row>
    <row r="252" customFormat="false" ht="15" hidden="false" customHeight="false" outlineLevel="0" collapsed="false">
      <c r="A252" s="7" t="s">
        <v>296</v>
      </c>
      <c r="B252" s="8" t="n">
        <v>45847</v>
      </c>
      <c r="C252" s="7" t="s">
        <v>21</v>
      </c>
      <c r="D252" s="7" t="str">
        <f aca="false">INDEX('Price Lookup'!$B$2:$B$19,MATCH(C252,'Price Lookup'!$A$2:$A$19,0))</f>
        <v>Home &amp; Kitchen</v>
      </c>
      <c r="E252" s="7" t="n">
        <f aca="false">INDEX('Price Lookup'!$C$2:$C$19,MATCH(C252,'Price Lookup'!$A$2:$A$19,0))</f>
        <v>199</v>
      </c>
      <c r="F252" s="7" t="n">
        <v>6</v>
      </c>
      <c r="G252" s="9" t="n">
        <f aca="false">E252*F252</f>
        <v>1194</v>
      </c>
      <c r="H252" s="7" t="s">
        <v>42</v>
      </c>
      <c r="I252" s="7" t="s">
        <v>53</v>
      </c>
    </row>
    <row r="253" customFormat="false" ht="15" hidden="false" customHeight="false" outlineLevel="0" collapsed="false">
      <c r="A253" s="7" t="s">
        <v>297</v>
      </c>
      <c r="B253" s="8" t="n">
        <v>45737</v>
      </c>
      <c r="C253" s="7" t="s">
        <v>16</v>
      </c>
      <c r="D253" s="7" t="str">
        <f aca="false">INDEX('Price Lookup'!$B$2:$B$19,MATCH(C253,'Price Lookup'!$A$2:$A$19,0))</f>
        <v>Stationery</v>
      </c>
      <c r="E253" s="7" t="n">
        <f aca="false">INDEX('Price Lookup'!$C$2:$C$19,MATCH(C253,'Price Lookup'!$A$2:$A$19,0))</f>
        <v>90</v>
      </c>
      <c r="F253" s="7" t="n">
        <v>1</v>
      </c>
      <c r="G253" s="9" t="n">
        <f aca="false">E253*F253</f>
        <v>90</v>
      </c>
      <c r="H253" s="7" t="s">
        <v>42</v>
      </c>
      <c r="I253" s="7" t="s">
        <v>50</v>
      </c>
    </row>
    <row r="254" customFormat="false" ht="15" hidden="false" customHeight="false" outlineLevel="0" collapsed="false">
      <c r="A254" s="7" t="s">
        <v>298</v>
      </c>
      <c r="B254" s="8" t="n">
        <v>45884</v>
      </c>
      <c r="C254" s="7" t="s">
        <v>27</v>
      </c>
      <c r="D254" s="7" t="str">
        <f aca="false">INDEX('Price Lookup'!$B$2:$B$19,MATCH(C254,'Price Lookup'!$A$2:$A$19,0))</f>
        <v>Apparel</v>
      </c>
      <c r="E254" s="7" t="n">
        <f aca="false">INDEX('Price Lookup'!$C$2:$C$19,MATCH(C254,'Price Lookup'!$A$2:$A$19,0))</f>
        <v>1299</v>
      </c>
      <c r="F254" s="7" t="n">
        <v>8</v>
      </c>
      <c r="G254" s="9" t="n">
        <f aca="false">E254*F254</f>
        <v>10392</v>
      </c>
      <c r="H254" s="7" t="s">
        <v>47</v>
      </c>
      <c r="I254" s="7" t="s">
        <v>43</v>
      </c>
    </row>
    <row r="255" customFormat="false" ht="15" hidden="false" customHeight="false" outlineLevel="0" collapsed="false">
      <c r="A255" s="7" t="s">
        <v>299</v>
      </c>
      <c r="B255" s="8" t="n">
        <v>45797</v>
      </c>
      <c r="C255" s="7" t="s">
        <v>17</v>
      </c>
      <c r="D255" s="7" t="str">
        <f aca="false">INDEX('Price Lookup'!$B$2:$B$19,MATCH(C255,'Price Lookup'!$A$2:$A$19,0))</f>
        <v>Furniture</v>
      </c>
      <c r="E255" s="7" t="n">
        <f aca="false">INDEX('Price Lookup'!$C$2:$C$19,MATCH(C255,'Price Lookup'!$A$2:$A$19,0))</f>
        <v>3499</v>
      </c>
      <c r="F255" s="7" t="n">
        <v>2</v>
      </c>
      <c r="G255" s="9" t="n">
        <f aca="false">E255*F255</f>
        <v>6998</v>
      </c>
      <c r="H255" s="7" t="s">
        <v>39</v>
      </c>
      <c r="I255" s="7" t="s">
        <v>43</v>
      </c>
    </row>
    <row r="256" customFormat="false" ht="15" hidden="false" customHeight="false" outlineLevel="0" collapsed="false">
      <c r="A256" s="7" t="s">
        <v>300</v>
      </c>
      <c r="B256" s="8" t="n">
        <v>45714</v>
      </c>
      <c r="C256" s="7" t="s">
        <v>21</v>
      </c>
      <c r="D256" s="7" t="str">
        <f aca="false">INDEX('Price Lookup'!$B$2:$B$19,MATCH(C256,'Price Lookup'!$A$2:$A$19,0))</f>
        <v>Home &amp; Kitchen</v>
      </c>
      <c r="E256" s="7" t="n">
        <f aca="false">INDEX('Price Lookup'!$C$2:$C$19,MATCH(C256,'Price Lookup'!$A$2:$A$19,0))</f>
        <v>199</v>
      </c>
      <c r="F256" s="7" t="n">
        <v>8</v>
      </c>
      <c r="G256" s="9" t="n">
        <f aca="false">E256*F256</f>
        <v>1592</v>
      </c>
      <c r="H256" s="7" t="s">
        <v>39</v>
      </c>
      <c r="I256" s="7" t="s">
        <v>53</v>
      </c>
    </row>
    <row r="257" customFormat="false" ht="15" hidden="false" customHeight="false" outlineLevel="0" collapsed="false">
      <c r="A257" s="7" t="s">
        <v>301</v>
      </c>
      <c r="B257" s="8" t="n">
        <v>45770</v>
      </c>
      <c r="C257" s="7" t="s">
        <v>25</v>
      </c>
      <c r="D257" s="7" t="str">
        <f aca="false">INDEX('Price Lookup'!$B$2:$B$19,MATCH(C257,'Price Lookup'!$A$2:$A$19,0))</f>
        <v>Apparel</v>
      </c>
      <c r="E257" s="7" t="n">
        <f aca="false">INDEX('Price Lookup'!$C$2:$C$19,MATCH(C257,'Price Lookup'!$A$2:$A$19,0))</f>
        <v>499</v>
      </c>
      <c r="F257" s="7" t="n">
        <v>1</v>
      </c>
      <c r="G257" s="9" t="n">
        <f aca="false">E257*F257</f>
        <v>499</v>
      </c>
      <c r="H257" s="7" t="s">
        <v>42</v>
      </c>
      <c r="I257" s="7" t="s">
        <v>40</v>
      </c>
    </row>
    <row r="258" customFormat="false" ht="15" hidden="false" customHeight="false" outlineLevel="0" collapsed="false">
      <c r="A258" s="7" t="s">
        <v>302</v>
      </c>
      <c r="B258" s="8" t="n">
        <v>45812</v>
      </c>
      <c r="C258" s="7" t="s">
        <v>17</v>
      </c>
      <c r="D258" s="7" t="str">
        <f aca="false">INDEX('Price Lookup'!$B$2:$B$19,MATCH(C258,'Price Lookup'!$A$2:$A$19,0))</f>
        <v>Furniture</v>
      </c>
      <c r="E258" s="7" t="n">
        <f aca="false">INDEX('Price Lookup'!$C$2:$C$19,MATCH(C258,'Price Lookup'!$A$2:$A$19,0))</f>
        <v>3499</v>
      </c>
      <c r="F258" s="7" t="n">
        <v>3</v>
      </c>
      <c r="G258" s="9" t="n">
        <f aca="false">E258*F258</f>
        <v>10497</v>
      </c>
      <c r="H258" s="7" t="s">
        <v>39</v>
      </c>
      <c r="I258" s="7" t="s">
        <v>50</v>
      </c>
    </row>
    <row r="259" customFormat="false" ht="15" hidden="false" customHeight="false" outlineLevel="0" collapsed="false">
      <c r="A259" s="7" t="s">
        <v>303</v>
      </c>
      <c r="B259" s="8" t="n">
        <v>45825</v>
      </c>
      <c r="C259" s="7" t="s">
        <v>13</v>
      </c>
      <c r="D259" s="7" t="str">
        <f aca="false">INDEX('Price Lookup'!$B$2:$B$19,MATCH(C259,'Price Lookup'!$A$2:$A$19,0))</f>
        <v>Stationery</v>
      </c>
      <c r="E259" s="7" t="n">
        <f aca="false">INDEX('Price Lookup'!$C$2:$C$19,MATCH(C259,'Price Lookup'!$A$2:$A$19,0))</f>
        <v>60</v>
      </c>
      <c r="F259" s="7" t="n">
        <v>1</v>
      </c>
      <c r="G259" s="9" t="n">
        <f aca="false">E259*F259</f>
        <v>60</v>
      </c>
      <c r="H259" s="7" t="s">
        <v>47</v>
      </c>
      <c r="I259" s="7" t="s">
        <v>43</v>
      </c>
    </row>
    <row r="260" customFormat="false" ht="15" hidden="false" customHeight="false" outlineLevel="0" collapsed="false">
      <c r="A260" s="7" t="s">
        <v>304</v>
      </c>
      <c r="B260" s="8" t="n">
        <v>45747</v>
      </c>
      <c r="C260" s="7" t="s">
        <v>15</v>
      </c>
      <c r="D260" s="7" t="str">
        <f aca="false">INDEX('Price Lookup'!$B$2:$B$19,MATCH(C260,'Price Lookup'!$A$2:$A$19,0))</f>
        <v>Stationery</v>
      </c>
      <c r="E260" s="7" t="n">
        <f aca="false">INDEX('Price Lookup'!$C$2:$C$19,MATCH(C260,'Price Lookup'!$A$2:$A$19,0))</f>
        <v>40</v>
      </c>
      <c r="F260" s="7" t="n">
        <v>7</v>
      </c>
      <c r="G260" s="9" t="n">
        <f aca="false">E260*F260</f>
        <v>280</v>
      </c>
      <c r="H260" s="7" t="s">
        <v>45</v>
      </c>
      <c r="I260" s="7" t="s">
        <v>50</v>
      </c>
    </row>
    <row r="261" customFormat="false" ht="15" hidden="false" customHeight="false" outlineLevel="0" collapsed="false">
      <c r="A261" s="7" t="s">
        <v>305</v>
      </c>
      <c r="B261" s="8" t="n">
        <v>45694</v>
      </c>
      <c r="C261" s="7" t="s">
        <v>25</v>
      </c>
      <c r="D261" s="7" t="str">
        <f aca="false">INDEX('Price Lookup'!$B$2:$B$19,MATCH(C261,'Price Lookup'!$A$2:$A$19,0))</f>
        <v>Apparel</v>
      </c>
      <c r="E261" s="7" t="n">
        <f aca="false">INDEX('Price Lookup'!$C$2:$C$19,MATCH(C261,'Price Lookup'!$A$2:$A$19,0))</f>
        <v>499</v>
      </c>
      <c r="F261" s="7" t="n">
        <v>1</v>
      </c>
      <c r="G261" s="9" t="n">
        <f aca="false">E261*F261</f>
        <v>499</v>
      </c>
      <c r="H261" s="7" t="s">
        <v>47</v>
      </c>
      <c r="I261" s="7" t="s">
        <v>53</v>
      </c>
    </row>
    <row r="262" customFormat="false" ht="15" hidden="false" customHeight="false" outlineLevel="0" collapsed="false">
      <c r="A262" s="7" t="s">
        <v>306</v>
      </c>
      <c r="B262" s="8" t="n">
        <v>45893</v>
      </c>
      <c r="C262" s="7" t="s">
        <v>12</v>
      </c>
      <c r="D262" s="7" t="str">
        <f aca="false">INDEX('Price Lookup'!$B$2:$B$19,MATCH(C262,'Price Lookup'!$A$2:$A$19,0))</f>
        <v>Electronics</v>
      </c>
      <c r="E262" s="7" t="n">
        <f aca="false">INDEX('Price Lookup'!$C$2:$C$19,MATCH(C262,'Price Lookup'!$A$2:$A$19,0))</f>
        <v>149</v>
      </c>
      <c r="F262" s="7" t="n">
        <v>6</v>
      </c>
      <c r="G262" s="9" t="n">
        <f aca="false">E262*F262</f>
        <v>894</v>
      </c>
      <c r="H262" s="7" t="s">
        <v>47</v>
      </c>
      <c r="I262" s="7" t="s">
        <v>43</v>
      </c>
    </row>
    <row r="263" customFormat="false" ht="15" hidden="false" customHeight="false" outlineLevel="0" collapsed="false">
      <c r="A263" s="7" t="s">
        <v>307</v>
      </c>
      <c r="B263" s="8" t="n">
        <v>46021</v>
      </c>
      <c r="C263" s="7" t="s">
        <v>27</v>
      </c>
      <c r="D263" s="7" t="str">
        <f aca="false">INDEX('Price Lookup'!$B$2:$B$19,MATCH(C263,'Price Lookup'!$A$2:$A$19,0))</f>
        <v>Apparel</v>
      </c>
      <c r="E263" s="7" t="n">
        <f aca="false">INDEX('Price Lookup'!$C$2:$C$19,MATCH(C263,'Price Lookup'!$A$2:$A$19,0))</f>
        <v>1299</v>
      </c>
      <c r="F263" s="7" t="n">
        <v>5</v>
      </c>
      <c r="G263" s="9" t="n">
        <f aca="false">E263*F263</f>
        <v>6495</v>
      </c>
      <c r="H263" s="7" t="s">
        <v>42</v>
      </c>
      <c r="I263" s="7" t="s">
        <v>43</v>
      </c>
    </row>
    <row r="264" customFormat="false" ht="15" hidden="false" customHeight="false" outlineLevel="0" collapsed="false">
      <c r="A264" s="7" t="s">
        <v>308</v>
      </c>
      <c r="B264" s="8" t="n">
        <v>45668</v>
      </c>
      <c r="C264" s="7" t="s">
        <v>23</v>
      </c>
      <c r="D264" s="7" t="str">
        <f aca="false">INDEX('Price Lookup'!$B$2:$B$19,MATCH(C264,'Price Lookup'!$A$2:$A$19,0))</f>
        <v>Home &amp; Kitchen</v>
      </c>
      <c r="E264" s="7" t="n">
        <f aca="false">INDEX('Price Lookup'!$C$2:$C$19,MATCH(C264,'Price Lookup'!$A$2:$A$19,0))</f>
        <v>349</v>
      </c>
      <c r="F264" s="7" t="n">
        <v>3</v>
      </c>
      <c r="G264" s="9" t="n">
        <f aca="false">E264*F264</f>
        <v>1047</v>
      </c>
      <c r="H264" s="7" t="s">
        <v>47</v>
      </c>
      <c r="I264" s="7" t="s">
        <v>50</v>
      </c>
    </row>
    <row r="265" customFormat="false" ht="15" hidden="false" customHeight="false" outlineLevel="0" collapsed="false">
      <c r="A265" s="7" t="s">
        <v>309</v>
      </c>
      <c r="B265" s="8" t="n">
        <v>45703</v>
      </c>
      <c r="C265" s="7" t="s">
        <v>27</v>
      </c>
      <c r="D265" s="7" t="str">
        <f aca="false">INDEX('Price Lookup'!$B$2:$B$19,MATCH(C265,'Price Lookup'!$A$2:$A$19,0))</f>
        <v>Apparel</v>
      </c>
      <c r="E265" s="7" t="n">
        <f aca="false">INDEX('Price Lookup'!$C$2:$C$19,MATCH(C265,'Price Lookup'!$A$2:$A$19,0))</f>
        <v>1299</v>
      </c>
      <c r="F265" s="7" t="n">
        <v>2</v>
      </c>
      <c r="G265" s="9" t="n">
        <f aca="false">E265*F265</f>
        <v>2598</v>
      </c>
      <c r="H265" s="7" t="s">
        <v>45</v>
      </c>
      <c r="I265" s="7" t="s">
        <v>43</v>
      </c>
    </row>
    <row r="266" customFormat="false" ht="15" hidden="false" customHeight="false" outlineLevel="0" collapsed="false">
      <c r="A266" s="7" t="s">
        <v>310</v>
      </c>
      <c r="B266" s="8" t="n">
        <v>45959</v>
      </c>
      <c r="C266" s="7" t="s">
        <v>25</v>
      </c>
      <c r="D266" s="7" t="str">
        <f aca="false">INDEX('Price Lookup'!$B$2:$B$19,MATCH(C266,'Price Lookup'!$A$2:$A$19,0))</f>
        <v>Apparel</v>
      </c>
      <c r="E266" s="7" t="n">
        <f aca="false">INDEX('Price Lookup'!$C$2:$C$19,MATCH(C266,'Price Lookup'!$A$2:$A$19,0))</f>
        <v>499</v>
      </c>
      <c r="F266" s="7" t="n">
        <v>2</v>
      </c>
      <c r="G266" s="9" t="n">
        <f aca="false">E266*F266</f>
        <v>998</v>
      </c>
      <c r="H266" s="7" t="s">
        <v>47</v>
      </c>
      <c r="I266" s="7" t="s">
        <v>50</v>
      </c>
    </row>
    <row r="267" customFormat="false" ht="15" hidden="false" customHeight="false" outlineLevel="0" collapsed="false">
      <c r="A267" s="7" t="s">
        <v>311</v>
      </c>
      <c r="B267" s="8" t="n">
        <v>45831</v>
      </c>
      <c r="C267" s="7" t="s">
        <v>19</v>
      </c>
      <c r="D267" s="7" t="str">
        <f aca="false">INDEX('Price Lookup'!$B$2:$B$19,MATCH(C267,'Price Lookup'!$A$2:$A$19,0))</f>
        <v>Furniture</v>
      </c>
      <c r="E267" s="7" t="n">
        <f aca="false">INDEX('Price Lookup'!$C$2:$C$19,MATCH(C267,'Price Lookup'!$A$2:$A$19,0))</f>
        <v>2999</v>
      </c>
      <c r="F267" s="7" t="n">
        <v>6</v>
      </c>
      <c r="G267" s="9" t="n">
        <f aca="false">E267*F267</f>
        <v>17994</v>
      </c>
      <c r="H267" s="7" t="s">
        <v>45</v>
      </c>
      <c r="I267" s="7" t="s">
        <v>53</v>
      </c>
    </row>
    <row r="268" customFormat="false" ht="15" hidden="false" customHeight="false" outlineLevel="0" collapsed="false">
      <c r="A268" s="7" t="s">
        <v>312</v>
      </c>
      <c r="B268" s="8" t="n">
        <v>45919</v>
      </c>
      <c r="C268" s="7" t="s">
        <v>13</v>
      </c>
      <c r="D268" s="7" t="str">
        <f aca="false">INDEX('Price Lookup'!$B$2:$B$19,MATCH(C268,'Price Lookup'!$A$2:$A$19,0))</f>
        <v>Stationery</v>
      </c>
      <c r="E268" s="7" t="n">
        <f aca="false">INDEX('Price Lookup'!$C$2:$C$19,MATCH(C268,'Price Lookup'!$A$2:$A$19,0))</f>
        <v>60</v>
      </c>
      <c r="F268" s="7" t="n">
        <v>4</v>
      </c>
      <c r="G268" s="9" t="n">
        <f aca="false">E268*F268</f>
        <v>240</v>
      </c>
      <c r="H268" s="7" t="s">
        <v>39</v>
      </c>
      <c r="I268" s="7" t="s">
        <v>50</v>
      </c>
    </row>
    <row r="269" customFormat="false" ht="15" hidden="false" customHeight="false" outlineLevel="0" collapsed="false">
      <c r="A269" s="7" t="s">
        <v>313</v>
      </c>
      <c r="B269" s="8" t="n">
        <v>45988</v>
      </c>
      <c r="C269" s="7" t="s">
        <v>15</v>
      </c>
      <c r="D269" s="7" t="str">
        <f aca="false">INDEX('Price Lookup'!$B$2:$B$19,MATCH(C269,'Price Lookup'!$A$2:$A$19,0))</f>
        <v>Stationery</v>
      </c>
      <c r="E269" s="7" t="n">
        <f aca="false">INDEX('Price Lookup'!$C$2:$C$19,MATCH(C269,'Price Lookup'!$A$2:$A$19,0))</f>
        <v>40</v>
      </c>
      <c r="F269" s="7" t="n">
        <v>4</v>
      </c>
      <c r="G269" s="9" t="n">
        <f aca="false">E269*F269</f>
        <v>160</v>
      </c>
      <c r="H269" s="7" t="s">
        <v>42</v>
      </c>
      <c r="I269" s="7" t="s">
        <v>40</v>
      </c>
    </row>
    <row r="270" customFormat="false" ht="15" hidden="false" customHeight="false" outlineLevel="0" collapsed="false">
      <c r="A270" s="7" t="s">
        <v>314</v>
      </c>
      <c r="B270" s="8" t="n">
        <v>45789</v>
      </c>
      <c r="C270" s="7" t="s">
        <v>17</v>
      </c>
      <c r="D270" s="7" t="str">
        <f aca="false">INDEX('Price Lookup'!$B$2:$B$19,MATCH(C270,'Price Lookup'!$A$2:$A$19,0))</f>
        <v>Furniture</v>
      </c>
      <c r="E270" s="7" t="n">
        <f aca="false">INDEX('Price Lookup'!$C$2:$C$19,MATCH(C270,'Price Lookup'!$A$2:$A$19,0))</f>
        <v>3499</v>
      </c>
      <c r="F270" s="7" t="n">
        <v>3</v>
      </c>
      <c r="G270" s="9" t="n">
        <f aca="false">E270*F270</f>
        <v>10497</v>
      </c>
      <c r="H270" s="7" t="s">
        <v>45</v>
      </c>
      <c r="I270" s="7" t="s">
        <v>53</v>
      </c>
    </row>
    <row r="271" customFormat="false" ht="15" hidden="false" customHeight="false" outlineLevel="0" collapsed="false">
      <c r="A271" s="7" t="s">
        <v>315</v>
      </c>
      <c r="B271" s="8" t="n">
        <v>45748</v>
      </c>
      <c r="C271" s="7" t="s">
        <v>29</v>
      </c>
      <c r="D271" s="7" t="str">
        <f aca="false">INDEX('Price Lookup'!$B$2:$B$19,MATCH(C271,'Price Lookup'!$A$2:$A$19,0))</f>
        <v>Personal Care</v>
      </c>
      <c r="E271" s="7" t="n">
        <f aca="false">INDEX('Price Lookup'!$C$2:$C$19,MATCH(C271,'Price Lookup'!$A$2:$A$19,0))</f>
        <v>179</v>
      </c>
      <c r="F271" s="7" t="n">
        <v>8</v>
      </c>
      <c r="G271" s="9" t="n">
        <f aca="false">E271*F271</f>
        <v>1432</v>
      </c>
      <c r="H271" s="7" t="s">
        <v>47</v>
      </c>
      <c r="I271" s="7" t="s">
        <v>50</v>
      </c>
    </row>
    <row r="272" customFormat="false" ht="15" hidden="false" customHeight="false" outlineLevel="0" collapsed="false">
      <c r="A272" s="7" t="s">
        <v>316</v>
      </c>
      <c r="B272" s="8" t="n">
        <v>45979</v>
      </c>
      <c r="C272" s="7" t="s">
        <v>23</v>
      </c>
      <c r="D272" s="7" t="str">
        <f aca="false">INDEX('Price Lookup'!$B$2:$B$19,MATCH(C272,'Price Lookup'!$A$2:$A$19,0))</f>
        <v>Home &amp; Kitchen</v>
      </c>
      <c r="E272" s="7" t="n">
        <f aca="false">INDEX('Price Lookup'!$C$2:$C$19,MATCH(C272,'Price Lookup'!$A$2:$A$19,0))</f>
        <v>349</v>
      </c>
      <c r="F272" s="7" t="n">
        <v>3</v>
      </c>
      <c r="G272" s="9" t="n">
        <f aca="false">E272*F272</f>
        <v>1047</v>
      </c>
      <c r="H272" s="7" t="s">
        <v>47</v>
      </c>
      <c r="I272" s="7" t="s">
        <v>53</v>
      </c>
    </row>
    <row r="273" customFormat="false" ht="15" hidden="false" customHeight="false" outlineLevel="0" collapsed="false">
      <c r="A273" s="7" t="s">
        <v>317</v>
      </c>
      <c r="B273" s="8" t="n">
        <v>45898</v>
      </c>
      <c r="C273" s="7" t="s">
        <v>28</v>
      </c>
      <c r="D273" s="7" t="str">
        <f aca="false">INDEX('Price Lookup'!$B$2:$B$19,MATCH(C273,'Price Lookup'!$A$2:$A$19,0))</f>
        <v>Apparel</v>
      </c>
      <c r="E273" s="7" t="n">
        <f aca="false">INDEX('Price Lookup'!$C$2:$C$19,MATCH(C273,'Price Lookup'!$A$2:$A$19,0))</f>
        <v>249</v>
      </c>
      <c r="F273" s="7" t="n">
        <v>5</v>
      </c>
      <c r="G273" s="9" t="n">
        <f aca="false">E273*F273</f>
        <v>1245</v>
      </c>
      <c r="H273" s="7" t="s">
        <v>39</v>
      </c>
      <c r="I273" s="7" t="s">
        <v>53</v>
      </c>
    </row>
    <row r="274" customFormat="false" ht="15" hidden="false" customHeight="false" outlineLevel="0" collapsed="false">
      <c r="A274" s="7" t="s">
        <v>318</v>
      </c>
      <c r="B274" s="8" t="n">
        <v>45838</v>
      </c>
      <c r="C274" s="7" t="s">
        <v>31</v>
      </c>
      <c r="D274" s="7" t="str">
        <f aca="false">INDEX('Price Lookup'!$B$2:$B$19,MATCH(C274,'Price Lookup'!$A$2:$A$19,0))</f>
        <v>Personal Care</v>
      </c>
      <c r="E274" s="7" t="n">
        <f aca="false">INDEX('Price Lookup'!$C$2:$C$19,MATCH(C274,'Price Lookup'!$A$2:$A$19,0))</f>
        <v>220</v>
      </c>
      <c r="F274" s="7" t="n">
        <v>2</v>
      </c>
      <c r="G274" s="9" t="n">
        <f aca="false">E274*F274</f>
        <v>440</v>
      </c>
      <c r="H274" s="7" t="s">
        <v>39</v>
      </c>
      <c r="I274" s="7" t="s">
        <v>43</v>
      </c>
    </row>
    <row r="275" customFormat="false" ht="15" hidden="false" customHeight="false" outlineLevel="0" collapsed="false">
      <c r="A275" s="7" t="s">
        <v>319</v>
      </c>
      <c r="B275" s="8" t="n">
        <v>45889</v>
      </c>
      <c r="C275" s="7" t="s">
        <v>11</v>
      </c>
      <c r="D275" s="7" t="str">
        <f aca="false">INDEX('Price Lookup'!$B$2:$B$19,MATCH(C275,'Price Lookup'!$A$2:$A$19,0))</f>
        <v>Electronics</v>
      </c>
      <c r="E275" s="7" t="n">
        <f aca="false">INDEX('Price Lookup'!$C$2:$C$19,MATCH(C275,'Price Lookup'!$A$2:$A$19,0))</f>
        <v>1499</v>
      </c>
      <c r="F275" s="7" t="n">
        <v>1</v>
      </c>
      <c r="G275" s="9" t="n">
        <f aca="false">E275*F275</f>
        <v>1499</v>
      </c>
      <c r="H275" s="7" t="s">
        <v>39</v>
      </c>
      <c r="I275" s="7" t="s">
        <v>50</v>
      </c>
    </row>
    <row r="276" customFormat="false" ht="15" hidden="false" customHeight="false" outlineLevel="0" collapsed="false">
      <c r="A276" s="7" t="s">
        <v>320</v>
      </c>
      <c r="B276" s="8" t="n">
        <v>45697</v>
      </c>
      <c r="C276" s="7" t="s">
        <v>12</v>
      </c>
      <c r="D276" s="7" t="str">
        <f aca="false">INDEX('Price Lookup'!$B$2:$B$19,MATCH(C276,'Price Lookup'!$A$2:$A$19,0))</f>
        <v>Electronics</v>
      </c>
      <c r="E276" s="7" t="n">
        <f aca="false">INDEX('Price Lookup'!$C$2:$C$19,MATCH(C276,'Price Lookup'!$A$2:$A$19,0))</f>
        <v>149</v>
      </c>
      <c r="F276" s="7" t="n">
        <v>7</v>
      </c>
      <c r="G276" s="9" t="n">
        <f aca="false">E276*F276</f>
        <v>1043</v>
      </c>
      <c r="H276" s="7" t="s">
        <v>47</v>
      </c>
      <c r="I276" s="7" t="s">
        <v>53</v>
      </c>
    </row>
    <row r="277" customFormat="false" ht="15" hidden="false" customHeight="false" outlineLevel="0" collapsed="false">
      <c r="A277" s="7" t="s">
        <v>321</v>
      </c>
      <c r="B277" s="8" t="n">
        <v>45888</v>
      </c>
      <c r="C277" s="7" t="s">
        <v>17</v>
      </c>
      <c r="D277" s="7" t="str">
        <f aca="false">INDEX('Price Lookup'!$B$2:$B$19,MATCH(C277,'Price Lookup'!$A$2:$A$19,0))</f>
        <v>Furniture</v>
      </c>
      <c r="E277" s="7" t="n">
        <f aca="false">INDEX('Price Lookup'!$C$2:$C$19,MATCH(C277,'Price Lookup'!$A$2:$A$19,0))</f>
        <v>3499</v>
      </c>
      <c r="F277" s="7" t="n">
        <v>6</v>
      </c>
      <c r="G277" s="9" t="n">
        <f aca="false">E277*F277</f>
        <v>20994</v>
      </c>
      <c r="H277" s="7" t="s">
        <v>47</v>
      </c>
      <c r="I277" s="7" t="s">
        <v>40</v>
      </c>
    </row>
    <row r="278" customFormat="false" ht="15" hidden="false" customHeight="false" outlineLevel="0" collapsed="false">
      <c r="A278" s="7" t="s">
        <v>322</v>
      </c>
      <c r="B278" s="8" t="n">
        <v>45689</v>
      </c>
      <c r="C278" s="7" t="s">
        <v>28</v>
      </c>
      <c r="D278" s="7" t="str">
        <f aca="false">INDEX('Price Lookup'!$B$2:$B$19,MATCH(C278,'Price Lookup'!$A$2:$A$19,0))</f>
        <v>Apparel</v>
      </c>
      <c r="E278" s="7" t="n">
        <f aca="false">INDEX('Price Lookup'!$C$2:$C$19,MATCH(C278,'Price Lookup'!$A$2:$A$19,0))</f>
        <v>249</v>
      </c>
      <c r="F278" s="7" t="n">
        <v>2</v>
      </c>
      <c r="G278" s="9" t="n">
        <f aca="false">E278*F278</f>
        <v>498</v>
      </c>
      <c r="H278" s="7" t="s">
        <v>39</v>
      </c>
      <c r="I278" s="7" t="s">
        <v>53</v>
      </c>
    </row>
    <row r="279" customFormat="false" ht="15" hidden="false" customHeight="false" outlineLevel="0" collapsed="false">
      <c r="A279" s="7" t="s">
        <v>323</v>
      </c>
      <c r="B279" s="8" t="n">
        <v>45916</v>
      </c>
      <c r="C279" s="7" t="s">
        <v>16</v>
      </c>
      <c r="D279" s="7" t="str">
        <f aca="false">INDEX('Price Lookup'!$B$2:$B$19,MATCH(C279,'Price Lookup'!$A$2:$A$19,0))</f>
        <v>Stationery</v>
      </c>
      <c r="E279" s="7" t="n">
        <f aca="false">INDEX('Price Lookup'!$C$2:$C$19,MATCH(C279,'Price Lookup'!$A$2:$A$19,0))</f>
        <v>90</v>
      </c>
      <c r="F279" s="7" t="n">
        <v>1</v>
      </c>
      <c r="G279" s="9" t="n">
        <f aca="false">E279*F279</f>
        <v>90</v>
      </c>
      <c r="H279" s="7" t="s">
        <v>45</v>
      </c>
      <c r="I279" s="7" t="s">
        <v>43</v>
      </c>
    </row>
    <row r="280" customFormat="false" ht="15" hidden="false" customHeight="false" outlineLevel="0" collapsed="false">
      <c r="A280" s="7" t="s">
        <v>324</v>
      </c>
      <c r="B280" s="8" t="n">
        <v>45882</v>
      </c>
      <c r="C280" s="7" t="s">
        <v>31</v>
      </c>
      <c r="D280" s="7" t="str">
        <f aca="false">INDEX('Price Lookup'!$B$2:$B$19,MATCH(C280,'Price Lookup'!$A$2:$A$19,0))</f>
        <v>Personal Care</v>
      </c>
      <c r="E280" s="7" t="n">
        <f aca="false">INDEX('Price Lookup'!$C$2:$C$19,MATCH(C280,'Price Lookup'!$A$2:$A$19,0))</f>
        <v>220</v>
      </c>
      <c r="F280" s="7" t="n">
        <v>3</v>
      </c>
      <c r="G280" s="9" t="n">
        <f aca="false">E280*F280</f>
        <v>660</v>
      </c>
      <c r="H280" s="7" t="s">
        <v>39</v>
      </c>
      <c r="I280" s="7" t="s">
        <v>50</v>
      </c>
    </row>
    <row r="281" customFormat="false" ht="15" hidden="false" customHeight="false" outlineLevel="0" collapsed="false">
      <c r="A281" s="7" t="s">
        <v>325</v>
      </c>
      <c r="B281" s="8" t="n">
        <v>45802</v>
      </c>
      <c r="C281" s="7" t="s">
        <v>25</v>
      </c>
      <c r="D281" s="7" t="str">
        <f aca="false">INDEX('Price Lookup'!$B$2:$B$19,MATCH(C281,'Price Lookup'!$A$2:$A$19,0))</f>
        <v>Apparel</v>
      </c>
      <c r="E281" s="7" t="n">
        <f aca="false">INDEX('Price Lookup'!$C$2:$C$19,MATCH(C281,'Price Lookup'!$A$2:$A$19,0))</f>
        <v>499</v>
      </c>
      <c r="F281" s="7" t="n">
        <v>7</v>
      </c>
      <c r="G281" s="9" t="n">
        <f aca="false">E281*F281</f>
        <v>3493</v>
      </c>
      <c r="H281" s="7" t="s">
        <v>39</v>
      </c>
      <c r="I281" s="7" t="s">
        <v>53</v>
      </c>
    </row>
    <row r="282" customFormat="false" ht="15" hidden="false" customHeight="false" outlineLevel="0" collapsed="false">
      <c r="A282" s="7" t="s">
        <v>326</v>
      </c>
      <c r="B282" s="8" t="n">
        <v>45981</v>
      </c>
      <c r="C282" s="7" t="s">
        <v>23</v>
      </c>
      <c r="D282" s="7" t="str">
        <f aca="false">INDEX('Price Lookup'!$B$2:$B$19,MATCH(C282,'Price Lookup'!$A$2:$A$19,0))</f>
        <v>Home &amp; Kitchen</v>
      </c>
      <c r="E282" s="7" t="n">
        <f aca="false">INDEX('Price Lookup'!$C$2:$C$19,MATCH(C282,'Price Lookup'!$A$2:$A$19,0))</f>
        <v>349</v>
      </c>
      <c r="F282" s="7" t="n">
        <v>2</v>
      </c>
      <c r="G282" s="9" t="n">
        <f aca="false">E282*F282</f>
        <v>698</v>
      </c>
      <c r="H282" s="7" t="s">
        <v>39</v>
      </c>
      <c r="I282" s="7" t="s">
        <v>53</v>
      </c>
    </row>
    <row r="283" customFormat="false" ht="15" hidden="false" customHeight="false" outlineLevel="0" collapsed="false">
      <c r="A283" s="7" t="s">
        <v>327</v>
      </c>
      <c r="B283" s="8" t="n">
        <v>45943</v>
      </c>
      <c r="C283" s="7" t="s">
        <v>25</v>
      </c>
      <c r="D283" s="7" t="str">
        <f aca="false">INDEX('Price Lookup'!$B$2:$B$19,MATCH(C283,'Price Lookup'!$A$2:$A$19,0))</f>
        <v>Apparel</v>
      </c>
      <c r="E283" s="7" t="n">
        <f aca="false">INDEX('Price Lookup'!$C$2:$C$19,MATCH(C283,'Price Lookup'!$A$2:$A$19,0))</f>
        <v>499</v>
      </c>
      <c r="F283" s="7" t="n">
        <v>5</v>
      </c>
      <c r="G283" s="9" t="n">
        <f aca="false">E283*F283</f>
        <v>2495</v>
      </c>
      <c r="H283" s="7" t="s">
        <v>39</v>
      </c>
      <c r="I283" s="7" t="s">
        <v>40</v>
      </c>
    </row>
    <row r="284" customFormat="false" ht="15" hidden="false" customHeight="false" outlineLevel="0" collapsed="false">
      <c r="A284" s="7" t="s">
        <v>328</v>
      </c>
      <c r="B284" s="8" t="n">
        <v>45828</v>
      </c>
      <c r="C284" s="7" t="s">
        <v>12</v>
      </c>
      <c r="D284" s="7" t="str">
        <f aca="false">INDEX('Price Lookup'!$B$2:$B$19,MATCH(C284,'Price Lookup'!$A$2:$A$19,0))</f>
        <v>Electronics</v>
      </c>
      <c r="E284" s="7" t="n">
        <f aca="false">INDEX('Price Lookup'!$C$2:$C$19,MATCH(C284,'Price Lookup'!$A$2:$A$19,0))</f>
        <v>149</v>
      </c>
      <c r="F284" s="7" t="n">
        <v>3</v>
      </c>
      <c r="G284" s="9" t="n">
        <f aca="false">E284*F284</f>
        <v>447</v>
      </c>
      <c r="H284" s="7" t="s">
        <v>39</v>
      </c>
      <c r="I284" s="7" t="s">
        <v>50</v>
      </c>
    </row>
    <row r="285" customFormat="false" ht="15" hidden="false" customHeight="false" outlineLevel="0" collapsed="false">
      <c r="A285" s="7" t="s">
        <v>329</v>
      </c>
      <c r="B285" s="8" t="n">
        <v>45993</v>
      </c>
      <c r="C285" s="7" t="s">
        <v>25</v>
      </c>
      <c r="D285" s="7" t="str">
        <f aca="false">INDEX('Price Lookup'!$B$2:$B$19,MATCH(C285,'Price Lookup'!$A$2:$A$19,0))</f>
        <v>Apparel</v>
      </c>
      <c r="E285" s="7" t="n">
        <f aca="false">INDEX('Price Lookup'!$C$2:$C$19,MATCH(C285,'Price Lookup'!$A$2:$A$19,0))</f>
        <v>499</v>
      </c>
      <c r="F285" s="7" t="n">
        <v>3</v>
      </c>
      <c r="G285" s="9" t="n">
        <f aca="false">E285*F285</f>
        <v>1497</v>
      </c>
      <c r="H285" s="7" t="s">
        <v>42</v>
      </c>
      <c r="I285" s="7" t="s">
        <v>50</v>
      </c>
    </row>
    <row r="286" customFormat="false" ht="15" hidden="false" customHeight="false" outlineLevel="0" collapsed="false">
      <c r="A286" s="7" t="s">
        <v>330</v>
      </c>
      <c r="B286" s="8" t="n">
        <v>45944</v>
      </c>
      <c r="C286" s="7" t="s">
        <v>25</v>
      </c>
      <c r="D286" s="7" t="str">
        <f aca="false">INDEX('Price Lookup'!$B$2:$B$19,MATCH(C286,'Price Lookup'!$A$2:$A$19,0))</f>
        <v>Apparel</v>
      </c>
      <c r="E286" s="7" t="n">
        <f aca="false">INDEX('Price Lookup'!$C$2:$C$19,MATCH(C286,'Price Lookup'!$A$2:$A$19,0))</f>
        <v>499</v>
      </c>
      <c r="F286" s="7" t="n">
        <v>6</v>
      </c>
      <c r="G286" s="9" t="n">
        <f aca="false">E286*F286</f>
        <v>2994</v>
      </c>
      <c r="H286" s="7" t="s">
        <v>45</v>
      </c>
      <c r="I286" s="7" t="s">
        <v>53</v>
      </c>
    </row>
    <row r="287" customFormat="false" ht="15" hidden="false" customHeight="false" outlineLevel="0" collapsed="false">
      <c r="A287" s="7" t="s">
        <v>331</v>
      </c>
      <c r="B287" s="8" t="n">
        <v>45988</v>
      </c>
      <c r="C287" s="7" t="s">
        <v>27</v>
      </c>
      <c r="D287" s="7" t="str">
        <f aca="false">INDEX('Price Lookup'!$B$2:$B$19,MATCH(C287,'Price Lookup'!$A$2:$A$19,0))</f>
        <v>Apparel</v>
      </c>
      <c r="E287" s="7" t="n">
        <f aca="false">INDEX('Price Lookup'!$C$2:$C$19,MATCH(C287,'Price Lookup'!$A$2:$A$19,0))</f>
        <v>1299</v>
      </c>
      <c r="F287" s="7" t="n">
        <v>6</v>
      </c>
      <c r="G287" s="9" t="n">
        <f aca="false">E287*F287</f>
        <v>7794</v>
      </c>
      <c r="H287" s="7" t="s">
        <v>42</v>
      </c>
      <c r="I287" s="7" t="s">
        <v>50</v>
      </c>
    </row>
    <row r="288" customFormat="false" ht="15" hidden="false" customHeight="false" outlineLevel="0" collapsed="false">
      <c r="A288" s="7" t="s">
        <v>332</v>
      </c>
      <c r="B288" s="8" t="n">
        <v>45816</v>
      </c>
      <c r="C288" s="7" t="s">
        <v>16</v>
      </c>
      <c r="D288" s="7" t="str">
        <f aca="false">INDEX('Price Lookup'!$B$2:$B$19,MATCH(C288,'Price Lookup'!$A$2:$A$19,0))</f>
        <v>Stationery</v>
      </c>
      <c r="E288" s="7" t="n">
        <f aca="false">INDEX('Price Lookup'!$C$2:$C$19,MATCH(C288,'Price Lookup'!$A$2:$A$19,0))</f>
        <v>90</v>
      </c>
      <c r="F288" s="7" t="n">
        <v>4</v>
      </c>
      <c r="G288" s="9" t="n">
        <f aca="false">E288*F288</f>
        <v>360</v>
      </c>
      <c r="H288" s="7" t="s">
        <v>39</v>
      </c>
      <c r="I288" s="7" t="s">
        <v>43</v>
      </c>
    </row>
    <row r="289" customFormat="false" ht="15" hidden="false" customHeight="false" outlineLevel="0" collapsed="false">
      <c r="A289" s="7" t="s">
        <v>333</v>
      </c>
      <c r="B289" s="8" t="n">
        <v>45756</v>
      </c>
      <c r="C289" s="7" t="s">
        <v>19</v>
      </c>
      <c r="D289" s="7" t="str">
        <f aca="false">INDEX('Price Lookup'!$B$2:$B$19,MATCH(C289,'Price Lookup'!$A$2:$A$19,0))</f>
        <v>Furniture</v>
      </c>
      <c r="E289" s="7" t="n">
        <f aca="false">INDEX('Price Lookup'!$C$2:$C$19,MATCH(C289,'Price Lookup'!$A$2:$A$19,0))</f>
        <v>2999</v>
      </c>
      <c r="F289" s="7" t="n">
        <v>3</v>
      </c>
      <c r="G289" s="9" t="n">
        <f aca="false">E289*F289</f>
        <v>8997</v>
      </c>
      <c r="H289" s="7" t="s">
        <v>45</v>
      </c>
      <c r="I289" s="7" t="s">
        <v>53</v>
      </c>
    </row>
    <row r="290" customFormat="false" ht="15" hidden="false" customHeight="false" outlineLevel="0" collapsed="false">
      <c r="A290" s="7" t="s">
        <v>334</v>
      </c>
      <c r="B290" s="8" t="n">
        <v>45809</v>
      </c>
      <c r="C290" s="7" t="s">
        <v>13</v>
      </c>
      <c r="D290" s="7" t="str">
        <f aca="false">INDEX('Price Lookup'!$B$2:$B$19,MATCH(C290,'Price Lookup'!$A$2:$A$19,0))</f>
        <v>Stationery</v>
      </c>
      <c r="E290" s="7" t="n">
        <f aca="false">INDEX('Price Lookup'!$C$2:$C$19,MATCH(C290,'Price Lookup'!$A$2:$A$19,0))</f>
        <v>60</v>
      </c>
      <c r="F290" s="7" t="n">
        <v>1</v>
      </c>
      <c r="G290" s="9" t="n">
        <f aca="false">E290*F290</f>
        <v>60</v>
      </c>
      <c r="H290" s="7" t="s">
        <v>39</v>
      </c>
      <c r="I290" s="7" t="s">
        <v>40</v>
      </c>
    </row>
    <row r="291" customFormat="false" ht="15" hidden="false" customHeight="false" outlineLevel="0" collapsed="false">
      <c r="A291" s="7" t="s">
        <v>335</v>
      </c>
      <c r="B291" s="8" t="n">
        <v>45963</v>
      </c>
      <c r="C291" s="7" t="s">
        <v>25</v>
      </c>
      <c r="D291" s="7" t="str">
        <f aca="false">INDEX('Price Lookup'!$B$2:$B$19,MATCH(C291,'Price Lookup'!$A$2:$A$19,0))</f>
        <v>Apparel</v>
      </c>
      <c r="E291" s="7" t="n">
        <f aca="false">INDEX('Price Lookup'!$C$2:$C$19,MATCH(C291,'Price Lookup'!$A$2:$A$19,0))</f>
        <v>499</v>
      </c>
      <c r="F291" s="7" t="n">
        <v>3</v>
      </c>
      <c r="G291" s="9" t="n">
        <f aca="false">E291*F291</f>
        <v>1497</v>
      </c>
      <c r="H291" s="7" t="s">
        <v>45</v>
      </c>
      <c r="I291" s="7" t="s">
        <v>40</v>
      </c>
    </row>
    <row r="292" customFormat="false" ht="15" hidden="false" customHeight="false" outlineLevel="0" collapsed="false">
      <c r="A292" s="7" t="s">
        <v>336</v>
      </c>
      <c r="B292" s="8" t="n">
        <v>46012</v>
      </c>
      <c r="C292" s="7" t="s">
        <v>16</v>
      </c>
      <c r="D292" s="7" t="str">
        <f aca="false">INDEX('Price Lookup'!$B$2:$B$19,MATCH(C292,'Price Lookup'!$A$2:$A$19,0))</f>
        <v>Stationery</v>
      </c>
      <c r="E292" s="7" t="n">
        <f aca="false">INDEX('Price Lookup'!$C$2:$C$19,MATCH(C292,'Price Lookup'!$A$2:$A$19,0))</f>
        <v>90</v>
      </c>
      <c r="F292" s="7" t="n">
        <v>8</v>
      </c>
      <c r="G292" s="9" t="n">
        <f aca="false">E292*F292</f>
        <v>720</v>
      </c>
      <c r="H292" s="7" t="s">
        <v>42</v>
      </c>
      <c r="I292" s="7" t="s">
        <v>43</v>
      </c>
    </row>
    <row r="293" customFormat="false" ht="15" hidden="false" customHeight="false" outlineLevel="0" collapsed="false">
      <c r="A293" s="7" t="s">
        <v>337</v>
      </c>
      <c r="B293" s="8" t="n">
        <v>45844</v>
      </c>
      <c r="C293" s="7" t="s">
        <v>19</v>
      </c>
      <c r="D293" s="7" t="str">
        <f aca="false">INDEX('Price Lookup'!$B$2:$B$19,MATCH(C293,'Price Lookup'!$A$2:$A$19,0))</f>
        <v>Furniture</v>
      </c>
      <c r="E293" s="7" t="n">
        <f aca="false">INDEX('Price Lookup'!$C$2:$C$19,MATCH(C293,'Price Lookup'!$A$2:$A$19,0))</f>
        <v>2999</v>
      </c>
      <c r="F293" s="7" t="n">
        <v>8</v>
      </c>
      <c r="G293" s="9" t="n">
        <f aca="false">E293*F293</f>
        <v>23992</v>
      </c>
      <c r="H293" s="7" t="s">
        <v>39</v>
      </c>
      <c r="I293" s="7" t="s">
        <v>43</v>
      </c>
    </row>
    <row r="294" customFormat="false" ht="15" hidden="false" customHeight="false" outlineLevel="0" collapsed="false">
      <c r="A294" s="7" t="s">
        <v>338</v>
      </c>
      <c r="B294" s="8" t="n">
        <v>45777</v>
      </c>
      <c r="C294" s="7" t="s">
        <v>32</v>
      </c>
      <c r="D294" s="7" t="str">
        <f aca="false">INDEX('Price Lookup'!$B$2:$B$19,MATCH(C294,'Price Lookup'!$A$2:$A$19,0))</f>
        <v>Personal Care</v>
      </c>
      <c r="E294" s="7" t="n">
        <f aca="false">INDEX('Price Lookup'!$C$2:$C$19,MATCH(C294,'Price Lookup'!$A$2:$A$19,0))</f>
        <v>99</v>
      </c>
      <c r="F294" s="7" t="n">
        <v>4</v>
      </c>
      <c r="G294" s="9" t="n">
        <f aca="false">E294*F294</f>
        <v>396</v>
      </c>
      <c r="H294" s="7" t="s">
        <v>39</v>
      </c>
      <c r="I294" s="7" t="s">
        <v>43</v>
      </c>
    </row>
    <row r="295" customFormat="false" ht="15" hidden="false" customHeight="false" outlineLevel="0" collapsed="false">
      <c r="A295" s="7" t="s">
        <v>339</v>
      </c>
      <c r="B295" s="8" t="n">
        <v>45757</v>
      </c>
      <c r="C295" s="7" t="s">
        <v>24</v>
      </c>
      <c r="D295" s="7" t="str">
        <f aca="false">INDEX('Price Lookup'!$B$2:$B$19,MATCH(C295,'Price Lookup'!$A$2:$A$19,0))</f>
        <v>Home &amp; Kitchen</v>
      </c>
      <c r="E295" s="7" t="n">
        <f aca="false">INDEX('Price Lookup'!$C$2:$C$19,MATCH(C295,'Price Lookup'!$A$2:$A$19,0))</f>
        <v>899</v>
      </c>
      <c r="F295" s="7" t="n">
        <v>8</v>
      </c>
      <c r="G295" s="9" t="n">
        <f aca="false">E295*F295</f>
        <v>7192</v>
      </c>
      <c r="H295" s="7" t="s">
        <v>47</v>
      </c>
      <c r="I295" s="7" t="s">
        <v>50</v>
      </c>
    </row>
    <row r="296" customFormat="false" ht="15" hidden="false" customHeight="false" outlineLevel="0" collapsed="false">
      <c r="A296" s="7" t="s">
        <v>340</v>
      </c>
      <c r="B296" s="8" t="n">
        <v>45853</v>
      </c>
      <c r="C296" s="7" t="s">
        <v>31</v>
      </c>
      <c r="D296" s="7" t="str">
        <f aca="false">INDEX('Price Lookup'!$B$2:$B$19,MATCH(C296,'Price Lookup'!$A$2:$A$19,0))</f>
        <v>Personal Care</v>
      </c>
      <c r="E296" s="7" t="n">
        <f aca="false">INDEX('Price Lookup'!$C$2:$C$19,MATCH(C296,'Price Lookup'!$A$2:$A$19,0))</f>
        <v>220</v>
      </c>
      <c r="F296" s="7" t="n">
        <v>7</v>
      </c>
      <c r="G296" s="9" t="n">
        <f aca="false">E296*F296</f>
        <v>1540</v>
      </c>
      <c r="H296" s="7" t="s">
        <v>45</v>
      </c>
      <c r="I296" s="7" t="s">
        <v>40</v>
      </c>
    </row>
    <row r="297" customFormat="false" ht="15" hidden="false" customHeight="false" outlineLevel="0" collapsed="false">
      <c r="A297" s="7" t="s">
        <v>341</v>
      </c>
      <c r="B297" s="8" t="n">
        <v>45967</v>
      </c>
      <c r="C297" s="7" t="s">
        <v>15</v>
      </c>
      <c r="D297" s="7" t="str">
        <f aca="false">INDEX('Price Lookup'!$B$2:$B$19,MATCH(C297,'Price Lookup'!$A$2:$A$19,0))</f>
        <v>Stationery</v>
      </c>
      <c r="E297" s="7" t="n">
        <f aca="false">INDEX('Price Lookup'!$C$2:$C$19,MATCH(C297,'Price Lookup'!$A$2:$A$19,0))</f>
        <v>40</v>
      </c>
      <c r="F297" s="7" t="n">
        <v>5</v>
      </c>
      <c r="G297" s="9" t="n">
        <f aca="false">E297*F297</f>
        <v>200</v>
      </c>
      <c r="H297" s="7" t="s">
        <v>42</v>
      </c>
      <c r="I297" s="7" t="s">
        <v>43</v>
      </c>
    </row>
    <row r="298" customFormat="false" ht="15" hidden="false" customHeight="false" outlineLevel="0" collapsed="false">
      <c r="A298" s="7" t="s">
        <v>342</v>
      </c>
      <c r="B298" s="8" t="n">
        <v>45848</v>
      </c>
      <c r="C298" s="7" t="s">
        <v>32</v>
      </c>
      <c r="D298" s="7" t="str">
        <f aca="false">INDEX('Price Lookup'!$B$2:$B$19,MATCH(C298,'Price Lookup'!$A$2:$A$19,0))</f>
        <v>Personal Care</v>
      </c>
      <c r="E298" s="7" t="n">
        <f aca="false">INDEX('Price Lookup'!$C$2:$C$19,MATCH(C298,'Price Lookup'!$A$2:$A$19,0))</f>
        <v>99</v>
      </c>
      <c r="F298" s="7" t="n">
        <v>2</v>
      </c>
      <c r="G298" s="9" t="n">
        <f aca="false">E298*F298</f>
        <v>198</v>
      </c>
      <c r="H298" s="7" t="s">
        <v>42</v>
      </c>
      <c r="I298" s="7" t="s">
        <v>50</v>
      </c>
    </row>
    <row r="299" customFormat="false" ht="15" hidden="false" customHeight="false" outlineLevel="0" collapsed="false">
      <c r="A299" s="7" t="s">
        <v>343</v>
      </c>
      <c r="B299" s="8" t="n">
        <v>45700</v>
      </c>
      <c r="C299" s="7" t="s">
        <v>16</v>
      </c>
      <c r="D299" s="7" t="str">
        <f aca="false">INDEX('Price Lookup'!$B$2:$B$19,MATCH(C299,'Price Lookup'!$A$2:$A$19,0))</f>
        <v>Stationery</v>
      </c>
      <c r="E299" s="7" t="n">
        <f aca="false">INDEX('Price Lookup'!$C$2:$C$19,MATCH(C299,'Price Lookup'!$A$2:$A$19,0))</f>
        <v>90</v>
      </c>
      <c r="F299" s="7" t="n">
        <v>5</v>
      </c>
      <c r="G299" s="9" t="n">
        <f aca="false">E299*F299</f>
        <v>450</v>
      </c>
      <c r="H299" s="7" t="s">
        <v>47</v>
      </c>
      <c r="I299" s="7" t="s">
        <v>40</v>
      </c>
    </row>
    <row r="300" customFormat="false" ht="15" hidden="false" customHeight="false" outlineLevel="0" collapsed="false">
      <c r="A300" s="7" t="s">
        <v>344</v>
      </c>
      <c r="B300" s="8" t="n">
        <v>45881</v>
      </c>
      <c r="C300" s="7" t="s">
        <v>12</v>
      </c>
      <c r="D300" s="7" t="str">
        <f aca="false">INDEX('Price Lookup'!$B$2:$B$19,MATCH(C300,'Price Lookup'!$A$2:$A$19,0))</f>
        <v>Electronics</v>
      </c>
      <c r="E300" s="7" t="n">
        <f aca="false">INDEX('Price Lookup'!$C$2:$C$19,MATCH(C300,'Price Lookup'!$A$2:$A$19,0))</f>
        <v>149</v>
      </c>
      <c r="F300" s="7" t="n">
        <v>4</v>
      </c>
      <c r="G300" s="9" t="n">
        <f aca="false">E300*F300</f>
        <v>596</v>
      </c>
      <c r="H300" s="7" t="s">
        <v>47</v>
      </c>
      <c r="I300" s="7" t="s">
        <v>50</v>
      </c>
    </row>
    <row r="301" customFormat="false" ht="15" hidden="false" customHeight="false" outlineLevel="0" collapsed="false">
      <c r="A301" s="7" t="s">
        <v>345</v>
      </c>
      <c r="B301" s="8" t="n">
        <v>45671</v>
      </c>
      <c r="C301" s="7" t="s">
        <v>27</v>
      </c>
      <c r="D301" s="7" t="str">
        <f aca="false">INDEX('Price Lookup'!$B$2:$B$19,MATCH(C301,'Price Lookup'!$A$2:$A$19,0))</f>
        <v>Apparel</v>
      </c>
      <c r="E301" s="7" t="n">
        <f aca="false">INDEX('Price Lookup'!$C$2:$C$19,MATCH(C301,'Price Lookup'!$A$2:$A$19,0))</f>
        <v>1299</v>
      </c>
      <c r="F301" s="7" t="n">
        <v>1</v>
      </c>
      <c r="G301" s="9" t="n">
        <f aca="false">E301*F301</f>
        <v>1299</v>
      </c>
      <c r="H301" s="7" t="s">
        <v>47</v>
      </c>
      <c r="I301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0" t="s">
        <v>346</v>
      </c>
      <c r="B1" s="10"/>
      <c r="C1" s="10"/>
      <c r="D1" s="10"/>
    </row>
    <row r="3" customFormat="false" ht="15" hidden="false" customHeight="false" outlineLevel="0" collapsed="false">
      <c r="A3" s="2" t="s">
        <v>347</v>
      </c>
      <c r="D3" s="2" t="s">
        <v>348</v>
      </c>
      <c r="G3" s="2" t="s">
        <v>349</v>
      </c>
    </row>
    <row r="4" customFormat="false" ht="15" hidden="false" customHeight="false" outlineLevel="0" collapsed="false">
      <c r="A4" s="11" t="s">
        <v>7</v>
      </c>
      <c r="B4" s="11" t="s">
        <v>1</v>
      </c>
      <c r="D4" s="11" t="s">
        <v>36</v>
      </c>
      <c r="E4" s="11" t="s">
        <v>1</v>
      </c>
      <c r="G4" s="11" t="s">
        <v>37</v>
      </c>
      <c r="H4" s="11" t="s">
        <v>1</v>
      </c>
    </row>
    <row r="5" customFormat="false" ht="15" hidden="false" customHeight="false" outlineLevel="0" collapsed="false">
      <c r="A5" s="12" t="s">
        <v>26</v>
      </c>
      <c r="B5" s="13" t="n">
        <f aca="false">SUMIFS('Raw Data'!$G$2:$G$301,'Raw Data'!$D$2:$D$301,A5)</f>
        <v>206554</v>
      </c>
      <c r="D5" s="12" t="s">
        <v>42</v>
      </c>
      <c r="E5" s="13" t="n">
        <f aca="false">SUMIFS('Raw Data'!$G$2:$G$301,'Raw Data'!$H$2:$H$301,D5)</f>
        <v>233917</v>
      </c>
      <c r="G5" s="12" t="s">
        <v>53</v>
      </c>
      <c r="H5" s="13" t="n">
        <f aca="false">SUMIFS('Raw Data'!$G$2:$G$301,'Raw Data'!$I$2:$I$301,G5)</f>
        <v>281666</v>
      </c>
    </row>
    <row r="6" customFormat="false" ht="15" hidden="false" customHeight="false" outlineLevel="0" collapsed="false">
      <c r="A6" s="12" t="s">
        <v>10</v>
      </c>
      <c r="B6" s="13" t="n">
        <f aca="false">SUMIFS('Raw Data'!$G$2:$G$301,'Raw Data'!$D$2:$D$301,A6)</f>
        <v>140196</v>
      </c>
      <c r="D6" s="12" t="s">
        <v>45</v>
      </c>
      <c r="E6" s="13" t="n">
        <f aca="false">SUMIFS('Raw Data'!$G$2:$G$301,'Raw Data'!$H$2:$H$301,D6)</f>
        <v>405976</v>
      </c>
      <c r="G6" s="12" t="s">
        <v>40</v>
      </c>
      <c r="H6" s="13" t="n">
        <f aca="false">SUMIFS('Raw Data'!$G$2:$G$301,'Raw Data'!$I$2:$I$301,G6)</f>
        <v>280038</v>
      </c>
    </row>
    <row r="7" customFormat="false" ht="15" hidden="false" customHeight="false" outlineLevel="0" collapsed="false">
      <c r="A7" s="12" t="s">
        <v>18</v>
      </c>
      <c r="B7" s="13" t="n">
        <f aca="false">SUMIFS('Raw Data'!$G$2:$G$301,'Raw Data'!$D$2:$D$301,A7)</f>
        <v>713713</v>
      </c>
      <c r="D7" s="12" t="s">
        <v>39</v>
      </c>
      <c r="E7" s="13" t="n">
        <f aca="false">SUMIFS('Raw Data'!$G$2:$G$301,'Raw Data'!$H$2:$H$301,D7)</f>
        <v>248941</v>
      </c>
      <c r="G7" s="12" t="s">
        <v>50</v>
      </c>
      <c r="H7" s="13" t="n">
        <f aca="false">SUMIFS('Raw Data'!$G$2:$G$301,'Raw Data'!$I$2:$I$301,G7)</f>
        <v>367784</v>
      </c>
    </row>
    <row r="8" customFormat="false" ht="15" hidden="false" customHeight="false" outlineLevel="0" collapsed="false">
      <c r="A8" s="12" t="s">
        <v>22</v>
      </c>
      <c r="B8" s="13" t="n">
        <f aca="false">SUMIFS('Raw Data'!$G$2:$G$301,'Raw Data'!$D$2:$D$301,A8)</f>
        <v>90655</v>
      </c>
      <c r="D8" s="12" t="s">
        <v>47</v>
      </c>
      <c r="E8" s="13" t="n">
        <f aca="false">SUMIFS('Raw Data'!$G$2:$G$301,'Raw Data'!$H$2:$H$301,D8)</f>
        <v>306761</v>
      </c>
      <c r="G8" s="12" t="s">
        <v>43</v>
      </c>
      <c r="H8" s="13" t="n">
        <f aca="false">SUMIFS('Raw Data'!$G$2:$G$301,'Raw Data'!$I$2:$I$301,G8)</f>
        <v>266107</v>
      </c>
    </row>
    <row r="9" customFormat="false" ht="15" hidden="false" customHeight="false" outlineLevel="0" collapsed="false">
      <c r="A9" s="12" t="s">
        <v>30</v>
      </c>
      <c r="B9" s="13" t="n">
        <f aca="false">SUMIFS('Raw Data'!$G$2:$G$301,'Raw Data'!$D$2:$D$301,A9)</f>
        <v>31967</v>
      </c>
    </row>
    <row r="10" customFormat="false" ht="15" hidden="false" customHeight="false" outlineLevel="0" collapsed="false">
      <c r="A10" s="12" t="s">
        <v>14</v>
      </c>
      <c r="B10" s="13" t="n">
        <f aca="false">SUMIFS('Raw Data'!$G$2:$G$301,'Raw Data'!$D$2:$D$301,A10)</f>
        <v>12510</v>
      </c>
    </row>
    <row r="12" customFormat="false" ht="15" hidden="false" customHeight="false" outlineLevel="0" collapsed="false">
      <c r="A12" s="2" t="s">
        <v>350</v>
      </c>
    </row>
    <row r="13" customFormat="false" ht="15" hidden="false" customHeight="false" outlineLevel="0" collapsed="false">
      <c r="A13" s="11" t="s">
        <v>351</v>
      </c>
      <c r="B13" s="11" t="s">
        <v>1</v>
      </c>
    </row>
    <row r="14" customFormat="false" ht="15" hidden="false" customHeight="false" outlineLevel="0" collapsed="false">
      <c r="A14" s="12" t="s">
        <v>352</v>
      </c>
      <c r="B14" s="13" t="n">
        <f aca="false">SUMIFS('Raw Data'!$G$2:$G$301,'Raw Data'!$B$2:$B$301,"&gt;="&amp;DATE(2025,1,1),'Raw Data'!$B$2:$B$301,"&lt;"&amp;DATE(2025,2,1))</f>
        <v>78564</v>
      </c>
    </row>
    <row r="15" customFormat="false" ht="15" hidden="false" customHeight="false" outlineLevel="0" collapsed="false">
      <c r="A15" s="12" t="s">
        <v>353</v>
      </c>
      <c r="B15" s="13" t="n">
        <f aca="false">SUMIFS('Raw Data'!$G$2:$G$301,'Raw Data'!$B$2:$B$301,"&gt;="&amp;DATE(2025,2,1),'Raw Data'!$B$2:$B$301,"&lt;"&amp;DATE(2025,3,1))</f>
        <v>133757</v>
      </c>
    </row>
    <row r="16" customFormat="false" ht="15" hidden="false" customHeight="false" outlineLevel="0" collapsed="false">
      <c r="A16" s="12" t="s">
        <v>354</v>
      </c>
      <c r="B16" s="13" t="n">
        <f aca="false">SUMIFS('Raw Data'!$G$2:$G$301,'Raw Data'!$B$2:$B$301,"&gt;="&amp;DATE(2025,3,1),'Raw Data'!$B$2:$B$301,"&lt;"&amp;DATE(2025,4,1))</f>
        <v>49852</v>
      </c>
    </row>
    <row r="17" customFormat="false" ht="15" hidden="false" customHeight="false" outlineLevel="0" collapsed="false">
      <c r="A17" s="12" t="s">
        <v>355</v>
      </c>
      <c r="B17" s="13" t="n">
        <f aca="false">SUMIFS('Raw Data'!$G$2:$G$301,'Raw Data'!$B$2:$B$301,"&gt;="&amp;DATE(2025,4,1),'Raw Data'!$B$2:$B$301,"&lt;"&amp;DATE(2025,5,1))</f>
        <v>120521</v>
      </c>
    </row>
    <row r="18" customFormat="false" ht="15" hidden="false" customHeight="false" outlineLevel="0" collapsed="false">
      <c r="A18" s="12" t="s">
        <v>356</v>
      </c>
      <c r="B18" s="13" t="n">
        <f aca="false">SUMIFS('Raw Data'!$G$2:$G$301,'Raw Data'!$B$2:$B$301,"&gt;="&amp;DATE(2025,5,1),'Raw Data'!$B$2:$B$301,"&lt;"&amp;DATE(2025,6,1))</f>
        <v>129517</v>
      </c>
    </row>
    <row r="19" customFormat="false" ht="15" hidden="false" customHeight="false" outlineLevel="0" collapsed="false">
      <c r="A19" s="12" t="s">
        <v>357</v>
      </c>
      <c r="B19" s="13" t="n">
        <f aca="false">SUMIFS('Raw Data'!$G$2:$G$301,'Raw Data'!$B$2:$B$301,"&gt;="&amp;DATE(2025,6,1),'Raw Data'!$B$2:$B$301,"&lt;"&amp;DATE(2025,7,1))</f>
        <v>104548</v>
      </c>
    </row>
    <row r="20" customFormat="false" ht="15" hidden="false" customHeight="false" outlineLevel="0" collapsed="false">
      <c r="A20" s="12" t="s">
        <v>358</v>
      </c>
      <c r="B20" s="13" t="n">
        <f aca="false">SUMIFS('Raw Data'!$G$2:$G$301,'Raw Data'!$B$2:$B$301,"&gt;="&amp;DATE(2025,7,1),'Raw Data'!$B$2:$B$301,"&lt;"&amp;DATE(2025,8,1))</f>
        <v>96132</v>
      </c>
    </row>
    <row r="21" customFormat="false" ht="15" hidden="false" customHeight="false" outlineLevel="0" collapsed="false">
      <c r="A21" s="12" t="s">
        <v>359</v>
      </c>
      <c r="B21" s="13" t="n">
        <f aca="false">SUMIFS('Raw Data'!$G$2:$G$301,'Raw Data'!$B$2:$B$301,"&gt;="&amp;DATE(2025,8,1),'Raw Data'!$B$2:$B$301,"&lt;"&amp;DATE(2025,9,1))</f>
        <v>86726</v>
      </c>
    </row>
    <row r="22" customFormat="false" ht="15" hidden="false" customHeight="false" outlineLevel="0" collapsed="false">
      <c r="A22" s="12" t="s">
        <v>360</v>
      </c>
      <c r="B22" s="13" t="n">
        <f aca="false">SUMIFS('Raw Data'!$G$2:$G$301,'Raw Data'!$B$2:$B$301,"&gt;="&amp;DATE(2025,9,1),'Raw Data'!$B$2:$B$301,"&lt;"&amp;DATE(2025,10,1))</f>
        <v>81978</v>
      </c>
    </row>
    <row r="23" customFormat="false" ht="15" hidden="false" customHeight="false" outlineLevel="0" collapsed="false">
      <c r="A23" s="12" t="s">
        <v>361</v>
      </c>
      <c r="B23" s="13" t="n">
        <f aca="false">SUMIFS('Raw Data'!$G$2:$G$301,'Raw Data'!$B$2:$B$301,"&gt;="&amp;DATE(2025,10,1),'Raw Data'!$B$2:$B$301,"&lt;"&amp;DATE(2025,11,1))</f>
        <v>127574</v>
      </c>
    </row>
    <row r="24" customFormat="false" ht="15" hidden="false" customHeight="false" outlineLevel="0" collapsed="false">
      <c r="A24" s="12" t="s">
        <v>362</v>
      </c>
      <c r="B24" s="13" t="n">
        <f aca="false">SUMIFS('Raw Data'!$G$2:$G$301,'Raw Data'!$B$2:$B$301,"&gt;="&amp;DATE(2025,11,1),'Raw Data'!$B$2:$B$301,"&lt;"&amp;DATE(2025,12,1))</f>
        <v>75852</v>
      </c>
    </row>
    <row r="25" customFormat="false" ht="15" hidden="false" customHeight="false" outlineLevel="0" collapsed="false">
      <c r="A25" s="12" t="s">
        <v>363</v>
      </c>
      <c r="B25" s="13" t="n">
        <f aca="false">SUMIFS('Raw Data'!$G$2:$G$301,'Raw Data'!$B$2:$B$301,"&gt;="&amp;DATE(2025,12,1),'Raw Data'!$B$2:$B$301,"&lt;"&amp;DATE(2025,13,1))</f>
        <v>110574</v>
      </c>
    </row>
    <row r="27" customFormat="false" ht="15" hidden="false" customHeight="false" outlineLevel="0" collapsed="false">
      <c r="A27" s="2" t="s">
        <v>364</v>
      </c>
    </row>
    <row r="28" customFormat="false" ht="15" hidden="false" customHeight="false" outlineLevel="0" collapsed="false">
      <c r="A28" s="11" t="s">
        <v>6</v>
      </c>
      <c r="B28" s="11" t="s">
        <v>365</v>
      </c>
    </row>
    <row r="29" customFormat="false" ht="15" hidden="false" customHeight="false" outlineLevel="0" collapsed="false">
      <c r="A29" s="12" t="s">
        <v>19</v>
      </c>
      <c r="B29" s="12" t="n">
        <f aca="false">SUMIFS('Raw Data'!$F$2:$F$301,'Raw Data'!$C$2:$C$301,A29)</f>
        <v>122</v>
      </c>
    </row>
    <row r="30" customFormat="false" ht="15" hidden="false" customHeight="false" outlineLevel="0" collapsed="false">
      <c r="A30" s="12" t="s">
        <v>27</v>
      </c>
      <c r="B30" s="12" t="n">
        <f aca="false">SUMIFS('Raw Data'!$F$2:$F$301,'Raw Data'!$C$2:$C$301,A30)</f>
        <v>121</v>
      </c>
    </row>
    <row r="31" customFormat="false" ht="15" hidden="false" customHeight="false" outlineLevel="0" collapsed="false">
      <c r="A31" s="12" t="s">
        <v>20</v>
      </c>
      <c r="B31" s="12" t="n">
        <f aca="false">SUMIFS('Raw Data'!$F$2:$F$301,'Raw Data'!$C$2:$C$301,A31)</f>
        <v>85</v>
      </c>
    </row>
    <row r="32" customFormat="false" ht="15" hidden="false" customHeight="false" outlineLevel="0" collapsed="false">
      <c r="A32" s="12" t="s">
        <v>32</v>
      </c>
      <c r="B32" s="12" t="n">
        <f aca="false">SUMIFS('Raw Data'!$F$2:$F$301,'Raw Data'!$C$2:$C$301,A32)</f>
        <v>85</v>
      </c>
    </row>
    <row r="33" customFormat="false" ht="15" hidden="false" customHeight="false" outlineLevel="0" collapsed="false">
      <c r="A33" s="12" t="s">
        <v>13</v>
      </c>
      <c r="B33" s="12" t="n">
        <f aca="false">SUMIFS('Raw Data'!$F$2:$F$301,'Raw Data'!$C$2:$C$301,A33)</f>
        <v>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2026-09-03T12:49:23Z</dcterms:created>
  <dc:creator>openpyxl</dc:creator>
  <dc:description/>
  <dc:language>en-US</dc:language>
  <cp:lastModifiedBy/>
  <dcterms:modified xsi:type="dcterms:W3CDTF">2026-09-03T12:49:27Z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